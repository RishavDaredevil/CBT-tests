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E46C081-5839-4CCD-97E8-5F6764A409BC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Instructions" sheetId="1" r:id="rId1"/>
    <sheet name="JAM 2021" sheetId="2" r:id="rId2"/>
    <sheet name="JAM 2022" sheetId="3" r:id="rId3"/>
    <sheet name="JAM 2024" sheetId="4" r:id="rId4"/>
    <sheet name="JAM 2025" sheetId="5" r:id="rId5"/>
    <sheet name="JAM 202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2" l="1"/>
  <c r="J61" i="2" s="1"/>
  <c r="H60" i="2"/>
  <c r="J60" i="2" s="1"/>
  <c r="H59" i="2"/>
  <c r="J59" i="2" s="1"/>
  <c r="H58" i="2"/>
  <c r="J58" i="2" s="1"/>
  <c r="H57" i="2"/>
  <c r="J57" i="2" s="1"/>
  <c r="J56" i="2"/>
  <c r="H56" i="2"/>
  <c r="H55" i="2"/>
  <c r="J55" i="2" s="1"/>
  <c r="H54" i="2"/>
  <c r="J54" i="2" s="1"/>
  <c r="H53" i="2"/>
  <c r="J53" i="2" s="1"/>
  <c r="H52" i="2"/>
  <c r="J52" i="2" s="1"/>
  <c r="H51" i="2"/>
  <c r="J51" i="2" s="1"/>
  <c r="J50" i="2"/>
  <c r="H50" i="2"/>
  <c r="H49" i="2"/>
  <c r="J49" i="2" s="1"/>
  <c r="H48" i="2"/>
  <c r="J48" i="2" s="1"/>
  <c r="H47" i="2"/>
  <c r="J47" i="2" s="1"/>
  <c r="H46" i="2"/>
  <c r="J46" i="2" s="1"/>
  <c r="H45" i="2"/>
  <c r="J45" i="2" s="1"/>
  <c r="J44" i="2"/>
  <c r="H44" i="2"/>
  <c r="H43" i="2"/>
  <c r="J43" i="2" s="1"/>
  <c r="H42" i="2"/>
  <c r="J42" i="2" s="1"/>
  <c r="H41" i="2"/>
  <c r="J41" i="2" s="1"/>
  <c r="H40" i="2"/>
  <c r="J40" i="2" s="1"/>
  <c r="H39" i="2"/>
  <c r="J39" i="2" s="1"/>
  <c r="J38" i="2"/>
  <c r="H38" i="2"/>
  <c r="H37" i="2"/>
  <c r="J37" i="2" s="1"/>
  <c r="H36" i="2"/>
  <c r="J36" i="2" s="1"/>
  <c r="H35" i="2"/>
  <c r="J35" i="2" s="1"/>
  <c r="H34" i="2"/>
  <c r="J34" i="2" s="1"/>
  <c r="H33" i="2"/>
  <c r="J33" i="2" s="1"/>
  <c r="J32" i="2"/>
  <c r="H32" i="2"/>
  <c r="H31" i="2"/>
  <c r="J31" i="2" s="1"/>
  <c r="H30" i="2"/>
  <c r="J30" i="2" s="1"/>
  <c r="H29" i="2"/>
  <c r="J29" i="2" s="1"/>
  <c r="H28" i="2"/>
  <c r="J28" i="2" s="1"/>
  <c r="H27" i="2"/>
  <c r="J27" i="2" s="1"/>
  <c r="J26" i="2"/>
  <c r="H26" i="2"/>
  <c r="H25" i="2"/>
  <c r="J25" i="2" s="1"/>
  <c r="H24" i="2"/>
  <c r="J24" i="2" s="1"/>
  <c r="H23" i="2"/>
  <c r="J23" i="2" s="1"/>
  <c r="H22" i="2"/>
  <c r="J22" i="2" s="1"/>
  <c r="H21" i="2"/>
  <c r="J21" i="2" s="1"/>
  <c r="J20" i="2"/>
  <c r="H20" i="2"/>
  <c r="H19" i="2"/>
  <c r="J19" i="2" s="1"/>
  <c r="H18" i="2"/>
  <c r="J18" i="2" s="1"/>
  <c r="H17" i="2"/>
  <c r="J17" i="2" s="1"/>
  <c r="H16" i="2"/>
  <c r="J16" i="2" s="1"/>
  <c r="H15" i="2"/>
  <c r="J15" i="2" s="1"/>
  <c r="J14" i="2"/>
  <c r="H14" i="2"/>
  <c r="H13" i="2"/>
  <c r="J13" i="2" s="1"/>
  <c r="H12" i="2"/>
  <c r="J12" i="2" s="1"/>
  <c r="H11" i="2"/>
  <c r="J11" i="2" s="1"/>
  <c r="H10" i="2"/>
  <c r="J10" i="2" s="1"/>
  <c r="H9" i="2"/>
  <c r="J9" i="2" s="1"/>
  <c r="J8" i="2"/>
  <c r="H8" i="2"/>
  <c r="H7" i="2"/>
  <c r="J7" i="2" s="1"/>
  <c r="H6" i="2"/>
  <c r="J6" i="2" s="1"/>
  <c r="H5" i="2"/>
  <c r="J5" i="2" s="1"/>
  <c r="H4" i="2"/>
  <c r="J4" i="2" s="1"/>
  <c r="H3" i="2"/>
  <c r="J3" i="2" s="1"/>
  <c r="J2" i="2"/>
  <c r="H2" i="2"/>
  <c r="H62" i="2" s="1"/>
  <c r="E2" i="2" a="1"/>
  <c r="E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<sst xmlns="http://schemas.openxmlformats.org/spreadsheetml/2006/main" count="1577" uniqueCount="427">
  <si>
    <t>Instructions for Using This Workbook</t>
  </si>
  <si>
    <t>Welcome to the Compiled IIT JAM Results &amp; Test Tracker.</t>
  </si>
  <si>
    <t>This workbook compiles the test designs and results for IIT JAM across different years (2021, 2022, 2024, 2025, 2026).</t>
  </si>
  <si>
    <t>HOW TO USE THIS WORKBOOK:</t>
  </si>
  <si>
    <t>1. Chronological Order: Each year's paper is located in a separate sheet, ordered from 2021 to 2026.</t>
  </si>
  <si>
    <t>2. Reference Sheet: The 'JAM 2021' sheet acts as your primary reference. It has the correct columns, structures, and formula representations to track your own attempts accurately.</t>
  </si>
  <si>
    <t>4. Tracking: Fill in your responses in the 'My Attempt' column for the new tests.</t>
  </si>
  <si>
    <t>5. Review: Compare your answers with the 'Correct Answer' column. Use the notes/problems columns to document any specific doubts or issues with the questions.</t>
  </si>
  <si>
    <t>Section</t>
  </si>
  <si>
    <t>Question ID</t>
  </si>
  <si>
    <t>My Attempt</t>
  </si>
  <si>
    <t>Correct Answer (Official)</t>
  </si>
  <si>
    <t>Marks Obtained</t>
  </si>
  <si>
    <t>Status</t>
  </si>
  <si>
    <t>Time Taken (s)</t>
  </si>
  <si>
    <t># of Incorrect</t>
  </si>
  <si>
    <t>Question ID.1</t>
  </si>
  <si>
    <t>Questions incorrect or Unattempted</t>
  </si>
  <si>
    <t xml:space="preserve">Problems specific To some questions </t>
  </si>
  <si>
    <t>A</t>
  </si>
  <si>
    <t>B</t>
  </si>
  <si>
    <t>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</si>
  <si>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</si>
  <si>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</si>
  <si>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</si>
  <si>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</si>
  <si>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</si>
  <si>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</si>
  <si>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</si>
  <si>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</si>
  <si>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</si>
  <si>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</si>
  <si>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</si>
  <si>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</si>
  <si>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</si>
  <si>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</si>
  <si>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</si>
  <si>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</si>
  <si>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</si>
  <si>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</si>
  <si>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</si>
  <si>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</si>
  <si>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</si>
  <si>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</si>
  <si>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</si>
  <si>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</si>
  <si>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</si>
  <si>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</si>
  <si>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</si>
  <si>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</si>
  <si>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</si>
  <si>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</si>
  <si>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</si>
  <si>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</si>
  <si>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</si>
  <si>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</si>
  <si>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</si>
  <si>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</si>
  <si>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</si>
  <si>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</si>
  <si>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</si>
  <si>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</si>
  <si>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</si>
  <si>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</si>
  <si>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</si>
  <si>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</si>
  <si>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</si>
  <si>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</si>
  <si>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</si>
  <si>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</si>
  <si>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</si>
  <si>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</si>
  <si>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</si>
  <si>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</si>
  <si>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</si>
  <si>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</si>
  <si>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</si>
  <si>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</si>
  <si>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</si>
  <si>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</si>
  <si>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</si>
  <si>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</si>
  <si>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TOTAL</t>
  </si>
  <si>
    <t>D</t>
  </si>
  <si>
    <t>Not Attempted</t>
  </si>
  <si>
    <t>A;B;D</t>
  </si>
  <si>
    <t>A;B;C;D</t>
  </si>
  <si>
    <t>B;C</t>
  </si>
  <si>
    <t>A;C</t>
  </si>
  <si>
    <t>C;D</t>
  </si>
  <si>
    <t>A;C;D</t>
  </si>
  <si>
    <t>0.5</t>
  </si>
  <si>
    <t>0.4</t>
  </si>
  <si>
    <t>100</t>
  </si>
  <si>
    <t>-1</t>
  </si>
  <si>
    <t>19895</t>
  </si>
  <si>
    <t>1118</t>
  </si>
  <si>
    <t>0</t>
  </si>
  <si>
    <t>-0.5</t>
  </si>
  <si>
    <t>-6</t>
  </si>
  <si>
    <t>1302</t>
  </si>
  <si>
    <t>A, D</t>
  </si>
  <si>
    <t>A, B, C, D</t>
  </si>
  <si>
    <t>B, C</t>
  </si>
  <si>
    <t>A, C</t>
  </si>
  <si>
    <t>C, D</t>
  </si>
  <si>
    <t>B, D</t>
  </si>
  <si>
    <t>0.41 - 0.43</t>
  </si>
  <si>
    <t>2652</t>
  </si>
  <si>
    <t>0.25</t>
  </si>
  <si>
    <t xml:space="preserve"> </t>
  </si>
  <si>
    <t>Incorrect</t>
  </si>
  <si>
    <t>Correct</t>
  </si>
  <si>
    <t>Unattempted</t>
  </si>
  <si>
    <t xml:space="preserve">Why can't the other options be a valid reason  </t>
  </si>
  <si>
    <t xml:space="preserve">I'm getting option a As the probability that both the random variable are greater than equal to 6 Simultaneously  </t>
  </si>
  <si>
    <t xml:space="preserve">In simple keynesian theory we just use The actual expenditure Formula Money supply doesn't come into question </t>
  </si>
  <si>
    <t xml:space="preserve">In a Bertrand Equilibrium The Nash happens at the marginal cost right Then how is option D correct answer </t>
  </si>
  <si>
    <t xml:space="preserve">Why is excess supply not a correct option The goods which are high quality would not be able to be sold right so they will be In excess supply </t>
  </si>
  <si>
    <t xml:space="preserve">I had a problem with the last logarithm step where we have to take modulus inside of the integrated variable to logarithm  </t>
  </si>
  <si>
    <t>Correct Answer</t>
  </si>
  <si>
    <t>Result</t>
  </si>
  <si>
    <t>A;B;C</t>
  </si>
  <si>
    <t>B;D</t>
  </si>
  <si>
    <t>A;B</t>
  </si>
  <si>
    <t>35.25</t>
  </si>
  <si>
    <t>2550</t>
  </si>
  <si>
    <t>61.53</t>
  </si>
  <si>
    <t>112</t>
  </si>
  <si>
    <t>1.65</t>
  </si>
  <si>
    <t>49.1</t>
  </si>
  <si>
    <t>2564.12</t>
  </si>
  <si>
    <t>81</t>
  </si>
  <si>
    <t>33.33</t>
  </si>
  <si>
    <t>19.33</t>
  </si>
  <si>
    <t>5190</t>
  </si>
  <si>
    <t>marks to all</t>
  </si>
  <si>
    <t>0.092</t>
  </si>
  <si>
    <t>9.25</t>
  </si>
  <si>
    <t>2650</t>
  </si>
  <si>
    <t>61.52</t>
  </si>
  <si>
    <t>600</t>
  </si>
  <si>
    <t>1.63</t>
  </si>
  <si>
    <t>0.56</t>
  </si>
  <si>
    <t>1628012</t>
  </si>
  <si>
    <t>16.65</t>
  </si>
  <si>
    <t>11.55</t>
  </si>
  <si>
    <t>4790</t>
  </si>
  <si>
    <t xml:space="preserve">Need information about all of the people mentioned here </t>
  </si>
  <si>
    <t xml:space="preserve">In classical aren't the disposable income fixed And as consumption depends only on the disposable income Then therefore consumption and from it savings are also fixed and dependent on income </t>
  </si>
  <si>
    <t xml:space="preserve">Was not able to solve by the matrix method how to do this </t>
  </si>
  <si>
    <t>How is This derived And what does each term mean here N n</t>
  </si>
  <si>
    <t xml:space="preserve">I thought this was a constant elasticity function And therefore I attempted option But the answer is given as Marks to all why is that </t>
  </si>
  <si>
    <t xml:space="preserve">What does scale invariant statistic mean   </t>
  </si>
  <si>
    <t xml:space="preserve">Why is option c wrong here mean absolute deviation should give median And in a symmetric Distribution like normal Mean median mode are equal  </t>
  </si>
  <si>
    <t xml:space="preserve">Need exhaustive information about this question is relation with the theory of Indian economy and each of the options mentioned here Except option a that I knew </t>
  </si>
  <si>
    <t>Made a mistake Not seeing the not correct in the question But need guidance regarding option C and option d</t>
  </si>
  <si>
    <t xml:space="preserve">First I did not understand this question I tried finding the Marshall cost in terms of X and And Making it zero because that is the minimum it could get </t>
  </si>
  <si>
    <t xml:space="preserve">I totally did not understand the point of this question the person is a risk lover why will he pay for insurance </t>
  </si>
  <si>
    <t>For this question I solved it by using integration by parts but I wasn't able to get the exact terms as in the rhs</t>
  </si>
  <si>
    <t xml:space="preserve">I thought this was a question of the H  theory of money supply question And The formula for money multiplier requires Not only knowing the crr but In handcash as a percent of the deposit And time deposit as a percent of demand deposit </t>
  </si>
  <si>
    <t xml:space="preserve">Sure I couldn't draw the Or understand the production function but one thing I was able to derived is that it was Not having diminishing MRT Therefore with that I thought that it would be a corner point Is this wrong </t>
  </si>
  <si>
    <t>A;D</t>
  </si>
  <si>
    <t>160</t>
  </si>
  <si>
    <t>1000</t>
  </si>
  <si>
    <t>61.6</t>
  </si>
  <si>
    <t>-3</t>
  </si>
  <si>
    <t>61</t>
  </si>
  <si>
    <t>9.38</t>
  </si>
  <si>
    <t>500</t>
  </si>
  <si>
    <t>71</t>
  </si>
  <si>
    <t>25.67</t>
  </si>
  <si>
    <t>217</t>
  </si>
  <si>
    <t>0.17</t>
  </si>
  <si>
    <t>80</t>
  </si>
  <si>
    <t>0.8</t>
  </si>
  <si>
    <t>62</t>
  </si>
  <si>
    <t>0.3</t>
  </si>
  <si>
    <t>9.3</t>
  </si>
  <si>
    <t>350</t>
  </si>
  <si>
    <t>8355</t>
  </si>
  <si>
    <t>0.98</t>
  </si>
  <si>
    <t>64</t>
  </si>
  <si>
    <t>0.1</t>
  </si>
  <si>
    <t>215</t>
  </si>
  <si>
    <t>616</t>
  </si>
  <si>
    <t>0.21</t>
  </si>
  <si>
    <t xml:space="preserve">How to cheque here for option d Do I have to always multiply and derive the new matrix to verify such option Then 38 I give AC and D Option series A and b How the **** </t>
  </si>
  <si>
    <t>*</t>
  </si>
  <si>
    <t>0.75</t>
  </si>
  <si>
    <t>0.13</t>
  </si>
  <si>
    <t>4.45</t>
  </si>
  <si>
    <t>6.67</t>
  </si>
  <si>
    <t>2.71</t>
  </si>
  <si>
    <t>2500</t>
  </si>
  <si>
    <t>4337.88</t>
  </si>
  <si>
    <t>31.5</t>
  </si>
  <si>
    <t>750</t>
  </si>
  <si>
    <t>B;C;D</t>
  </si>
  <si>
    <t>0.12</t>
  </si>
  <si>
    <t>2.7</t>
  </si>
  <si>
    <t>4337</t>
  </si>
  <si>
    <t xml:space="preserve">Isn't Garibi Hatta Ondolan from 5th 5 year plan </t>
  </si>
  <si>
    <t xml:space="preserve">But R Square can't be negative It is the Square of correlation </t>
  </si>
  <si>
    <t xml:space="preserve">How is option a Wrong </t>
  </si>
  <si>
    <t xml:space="preserve">Doesn't option C enable auto regressive behaviour 33 Virong BCD </t>
  </si>
  <si>
    <t xml:space="preserve">How is option d correct </t>
  </si>
  <si>
    <t xml:space="preserve">How is option C correct Monopoly have market power </t>
  </si>
  <si>
    <t xml:space="preserve">How is India measuring each day I remember the E day one measuring the weekly time </t>
  </si>
  <si>
    <t>SL No.</t>
  </si>
  <si>
    <t>Question</t>
  </si>
  <si>
    <t>Correct Option</t>
  </si>
  <si>
    <t>Doubt</t>
  </si>
  <si>
    <t>Correct Option Text / Range</t>
  </si>
  <si>
    <t>My Attempt (Mapped)</t>
  </si>
  <si>
    <t>My Attempt Text / Value</t>
  </si>
  <si>
    <t>Section Type</t>
  </si>
  <si>
    <t>Note</t>
  </si>
  <si>
    <t>Marks Gotten</t>
  </si>
  <si>
    <t>If kurtosis is defined as ... value is positive for</t>
  </si>
  <si>
    <t>Which one of the followings is a relative measure of dispersion?</t>
  </si>
  <si>
    <t>Which one of the followings was NOT part of India's economic reforms in 1991?</t>
  </si>
  <si>
    <t>India's Second Five-Year Plan (1956-61) was developed based on</t>
  </si>
  <si>
    <t>Let e, R, and p represent own price elasticity ... If dR/dp &lt; 0, then</t>
  </si>
  <si>
    <t>Which one of the following statements is CORRECT for the general equilibrium analysis...</t>
  </si>
  <si>
    <t>Which one of the following statements is CORRECT in the context of GDP calculation?</t>
  </si>
  <si>
    <t>The relationship between tax revenue and tax rate is represented by</t>
  </si>
  <si>
    <t>The Permanent Settlement Act of 1793 primarily aimed at</t>
  </si>
  <si>
    <t>The area under the curve f(x)=x^5 e^(x^3) between x=1 and x=2 is</t>
  </si>
  <si>
    <t>In a year of 366 days, what is the chance that three persons have different birthdays?</t>
  </si>
  <si>
    <t>Let Yt be the value of Y in year t... intercept 12 and slope 0.1512... CAGR is</t>
  </si>
  <si>
    <t>Annual appraisal... which one of the following regression models cannot be estimated?</t>
  </si>
  <si>
    <t>A monopolist sells different units... same quantity pays same price. It is known as</t>
  </si>
  <si>
    <t>Consider a social welfare function (SWF)... Identify CORRECT statement.</t>
  </si>
  <si>
    <t>The Taylor rule is used by the Central Banks mainly</t>
  </si>
  <si>
    <t>Which one ... regarding Romer's Endogenous Growth model and Solow's Growth model is CORRECT?</t>
  </si>
  <si>
    <t>Reserve Bank of India's monetary policy... CORRECT order of magnitude?</t>
  </si>
  <si>
    <t>Which one ... is CORRECT in the context of positive consumption externality?</t>
  </si>
  <si>
    <t>Negative production externality... Coase theorem... payment (p) acceptable when</t>
  </si>
  <si>
    <t>Which one ... is CORRECT in the context of price indices?</t>
  </si>
  <si>
    <t>Which one ... is CORRECT in the context of the Keynesian Absolute Income Hypothesis?</t>
  </si>
  <si>
    <t>Closed economy IS-LM ... increase in government spending...</t>
  </si>
  <si>
    <t>Mundell-Fleming model... If the risk premium of the country increases...</t>
  </si>
  <si>
    <t>In India, plan-holiday was declared between</t>
  </si>
  <si>
    <t>Simultaneous game X and Y... Payoff matrix...</t>
  </si>
  <si>
    <t>2x2 matrix Z... properties... Which one is CORRECT?</t>
  </si>
  <si>
    <t>Single-input production function Q=L^0.25... Cost C1...</t>
  </si>
  <si>
    <t>Income elasticity statements I, II, III...</t>
  </si>
  <si>
    <t>Demand curve q^a p^b = c ... absolute value of own price elasticity</t>
  </si>
  <si>
    <t>Relationship between average product (APL) and marginal product (MPL)</t>
  </si>
  <si>
    <t>Demand D(p)=400-8p, Supply S(p)=2p... Identify CORRECT statement(s).</t>
  </si>
  <si>
    <t>Goods and money market equations... Identify CORRECT option(s).</t>
  </si>
  <si>
    <t>Identify the CORRECT statement(s) in the context of an open economy.</t>
  </si>
  <si>
    <t>Keynesian money demand... real demand for money increases when</t>
  </si>
  <si>
    <t>Skill Development in India (Economic Survey 2024-25)...</t>
  </si>
  <si>
    <t>Cobb-Douglas Q=AK^0.5 L^0.5... Identify CORRECT statement(s).</t>
  </si>
  <si>
    <t>Indian labour market since 2000...</t>
  </si>
  <si>
    <t>NITI Aayog SDG 10 (Reduced Inequalities) indicators...</t>
  </si>
  <si>
    <t>Identify the regulatory institution(s) in India.</t>
  </si>
  <si>
    <t>Harmonic mean of twelve observations...</t>
  </si>
  <si>
    <t>Normal distribution... Prob(-1&lt;z&lt;1)=0.683... Prob(1&lt;X&lt;7)=</t>
  </si>
  <si>
    <t>Mean consumption 40, SD 7... New members... New SD is</t>
  </si>
  <si>
    <t>Game of coexistence Hawk/Dove... value of p at Nash equilibrium</t>
  </si>
  <si>
    <t>Utility u(x1,x2)=min{x1,x2}... slope of Engel curve for X2</t>
  </si>
  <si>
    <t>GDP 7500... Net National Product (NNP) is</t>
  </si>
  <si>
    <t>AK growth model... savings rate (in %)</t>
  </si>
  <si>
    <t>Expectations-augmented Phillips curve... actual inflation rate</t>
  </si>
  <si>
    <t>Maximum value of (x+y) subject to (x^2+y^2)=2</t>
  </si>
  <si>
    <t>First derivative of f(x)=(3x^3+2x^2+x+1)^2 at x=2</t>
  </si>
  <si>
    <t>Variance 4... Sample size 25... t-statistic is</t>
  </si>
  <si>
    <t>Monopoly profit function... Maximum profit is</t>
  </si>
  <si>
    <t>Rain chance 40%... Bayes Theorem... chance it was raining</t>
  </si>
  <si>
    <t>Negative production externality... socially efficient equilibrium price</t>
  </si>
  <si>
    <t>Utility u=x1x2... Compensating Variation</t>
  </si>
  <si>
    <t>Duopoly... Total output (Q) ignoring interdependence</t>
  </si>
  <si>
    <t>Closed economy... Value of Y2</t>
  </si>
  <si>
    <t>National savings increase by...</t>
  </si>
  <si>
    <t>Solow model... steady-state capital-labour ratio</t>
  </si>
  <si>
    <t>Population regression... estimated value of alpha</t>
  </si>
  <si>
    <t>A; D</t>
  </si>
  <si>
    <t>A; B</t>
  </si>
  <si>
    <t>A; B; D</t>
  </si>
  <si>
    <t>B; C</t>
  </si>
  <si>
    <t>14.5 to 15.5</t>
  </si>
  <si>
    <t>0.800 to 0.820</t>
  </si>
  <si>
    <t>6.00 to 7.00</t>
  </si>
  <si>
    <t>0.4 to 0.6</t>
  </si>
  <si>
    <t>3 to 3</t>
  </si>
  <si>
    <t>6680 to 6680</t>
  </si>
  <si>
    <t>18 to 22</t>
  </si>
  <si>
    <t>4.0 to 5.0</t>
  </si>
  <si>
    <t>2 to 2</t>
  </si>
  <si>
    <t>3150 to 3150</t>
  </si>
  <si>
    <t>142 to 143</t>
  </si>
  <si>
    <t>26.00 to 28.00</t>
  </si>
  <si>
    <t>41.3 to 41.5</t>
  </si>
  <si>
    <t>110.00 to 113.00</t>
  </si>
  <si>
    <t>3600 to 3600</t>
  </si>
  <si>
    <t>250 to 250</t>
  </si>
  <si>
    <t>4 to 4</t>
  </si>
  <si>
    <t>-1 to -1</t>
  </si>
  <si>
    <t xml:space="preserve">Don't know this please explain Each of them Of the options  </t>
  </si>
  <si>
    <t xml:space="preserve">Please explain about Laffer curve and J curve </t>
  </si>
  <si>
    <t xml:space="preserve">Please explain this question </t>
  </si>
  <si>
    <t xml:space="preserve">Please explain </t>
  </si>
  <si>
    <t xml:space="preserve">Please explain all the options </t>
  </si>
  <si>
    <t xml:space="preserve">Please explain the answer and buy other options cant be </t>
  </si>
  <si>
    <t xml:space="preserve">Please explain the question how Solve these type of questions and all the options </t>
  </si>
  <si>
    <t xml:space="preserve">Please explain mixed Nash equilibria And how to derive these in such type of questions </t>
  </si>
  <si>
    <t xml:space="preserve">valorem Please explain this text and this question My calculation says That if a flat tax is being imposed Then new market price is the choke price </t>
  </si>
  <si>
    <t xml:space="preserve">Explain the survey and the question in more detail </t>
  </si>
  <si>
    <t xml:space="preserve">Any other information too regarding the question </t>
  </si>
  <si>
    <t xml:space="preserve">Explain the question and its Answers </t>
  </si>
  <si>
    <t xml:space="preserve">Please explain how to calculate the answer to this question </t>
  </si>
  <si>
    <t xml:space="preserve">My answer is coming sixteen here please Tell me how Where it went wrong </t>
  </si>
  <si>
    <t xml:space="preserve">My answer is coming 387 here Please explain The answer </t>
  </si>
  <si>
    <t xml:space="preserve">The question asked that the duo police are ignoring their interdependence My answer came 201 </t>
  </si>
  <si>
    <t xml:space="preserve">How to do such a type of question </t>
  </si>
  <si>
    <t>a leptokurtic distribution</t>
  </si>
  <si>
    <t>Coefficient of Variation</t>
  </si>
  <si>
    <t>Nationalisation of banks</t>
  </si>
  <si>
    <t>Mahalanobis Model</t>
  </si>
  <si>
    <t>Equilibrium prices are endogenously determined.</t>
  </si>
  <si>
    <t>GDP includes government consumption expenditure.</t>
  </si>
  <si>
    <t>Laffer Curve</t>
  </si>
  <si>
    <t>securing land revenue for British Government</t>
  </si>
  <si>
    <t>(7/3)e^8</t>
  </si>
  <si>
    <t>(365 × 364) / (366 × 366)</t>
  </si>
  <si>
    <t>0.1632</t>
  </si>
  <si>
    <t>Wage = alpha + beta Pass + gamma Fail + u</t>
  </si>
  <si>
    <t>second degree</t>
  </si>
  <si>
    <t>John Rawls proposed SWF = maximum{U1...}</t>
  </si>
  <si>
    <t>to set nominal interest rate based on inflation gap and output gap</t>
  </si>
  <si>
    <t>Romer's ... explains technological progress but Solow's ... does not.</t>
  </si>
  <si>
    <t>Marginal Standing Facility rate &gt; Repo rate &gt; Reverse Repo rate</t>
  </si>
  <si>
    <t>Marginal social benefit is higher than marginal private benefit.</t>
  </si>
  <si>
    <t>(MSC-MPC) &gt; p &gt; (MPB-MPC)</t>
  </si>
  <si>
    <t>... quantity of goods in the base-year as weight is known as the Laspeyres Index.</t>
  </si>
  <si>
    <t>The average propensity to consume approaches the marginal propensity to consume...</t>
  </si>
  <si>
    <t>If LM curve is vertical, then the equilibrium level of income remains unchanged.</t>
  </si>
  <si>
    <t>income increases</t>
  </si>
  <si>
    <t>Third and Fourth Five-Year Plan</t>
  </si>
  <si>
    <t>Nash equilibrium is reached when each of them purely randomises their behavior.</t>
  </si>
  <si>
    <t>Z = Z^-1 for some Z</t>
  </si>
  <si>
    <t>The cost function is convex and the production function is concave.</t>
  </si>
  <si>
    <t>Both I and II are CORRECT, but III is NOT CORRECT</t>
  </si>
  <si>
    <t>b/a</t>
  </si>
  <si>
    <t>A: If MPL &gt; APL, dAPL/dL &gt; 0D: If MPL &lt; APL, dAPL/dL &lt; 0</t>
  </si>
  <si>
    <t>If a 100% ad valorem tax is imposed... choke price still exists.</t>
  </si>
  <si>
    <t>A: IS equation i=73.75-0.05YB: LM equation i=0.0133Y-13.33</t>
  </si>
  <si>
    <t>When domestic currency appreciates, domestic goods become more expensive to foreign buyers.</t>
  </si>
  <si>
    <t>A: interest rate decreasesB: income increases</t>
  </si>
  <si>
    <t>A: significant improvement...B: PM Internship SchemeD: Jan Shikshan Sansthan... majority female</t>
  </si>
  <si>
    <t>B: dQ/dL decreases as L increasesC: As L increases, Q increases but at a slower rate</t>
  </si>
  <si>
    <t>A: Shift from agriculture...B: Construction high elasticityD: Service sector driver</t>
  </si>
  <si>
    <t>A: % seats held by women in PRIsB: Income inequality (Gini)</t>
  </si>
  <si>
    <t>A: SEBIB: IRDAID: CERC</t>
  </si>
  <si>
    <t>Range: 14.5 to 15.5</t>
  </si>
  <si>
    <t>Range: 0.800 to 0.820</t>
  </si>
  <si>
    <t>Range: 6.00 to 7.00</t>
  </si>
  <si>
    <t>Range: 0.4 to 0.6</t>
  </si>
  <si>
    <t>Range: 3 to 3</t>
  </si>
  <si>
    <t>Range: 6680 to 6680</t>
  </si>
  <si>
    <t>Range: 18 to 22</t>
  </si>
  <si>
    <t>Range: 4.0 to 5.0</t>
  </si>
  <si>
    <t>Range: 2 to 2</t>
  </si>
  <si>
    <t>Range: 3150 to 3150</t>
  </si>
  <si>
    <t>Range: 142 to 143</t>
  </si>
  <si>
    <t>Range: 26.00 to 28.00</t>
  </si>
  <si>
    <t>Range: 41.3 to 41.5</t>
  </si>
  <si>
    <t>Range: 110.00 to 113.00</t>
  </si>
  <si>
    <t>Range: 3600 to 3600</t>
  </si>
  <si>
    <t>Range: 250 to 250</t>
  </si>
  <si>
    <t>Range: 4 to 4</t>
  </si>
  <si>
    <t>Range: -1 to -1</t>
  </si>
  <si>
    <t>-</t>
  </si>
  <si>
    <t>e</t>
  </si>
  <si>
    <t>C (Partial)</t>
  </si>
  <si>
    <t>&gt; 1</t>
  </si>
  <si>
    <t>J-Curve</t>
  </si>
  <si>
    <t>0.1512</t>
  </si>
  <si>
    <t>Wage = beta Pass + gamma Fail + u</t>
  </si>
  <si>
    <t>Repo rate &gt; Reverse Repo rate &gt; Marginal Standing Facility rate</t>
  </si>
  <si>
    <t>... quantity of goods in the base-year as weight is known as the Paasche Index.</t>
  </si>
  <si>
    <t>The game is similar to a Battle of Sexes game.</t>
  </si>
  <si>
    <t>User selected: If MPL &lt; APL then dAPL/dL &gt; 0 (Incorrect); If MPL &lt; APL then dAPL/dL &lt; 0 (Correct)</t>
  </si>
  <si>
    <t>User selected: Flat-rate tax... (Incorrect); 100% ad valorem tax... (Correct)</t>
  </si>
  <si>
    <t>User selected both correctly.</t>
  </si>
  <si>
    <t>User selected A, B, and D correctly.</t>
  </si>
  <si>
    <t>User selected: Income inequality; % seats women; Unemployment rate (Incorrect combination)</t>
  </si>
  <si>
    <t>User selected: SIDBI (Incorrect), IRDAI, SEBI. Missed CERC.</t>
  </si>
  <si>
    <t>0.819</t>
  </si>
  <si>
    <t>7.25</t>
  </si>
  <si>
    <t>6680</t>
  </si>
  <si>
    <t>4.5</t>
  </si>
  <si>
    <t>3150</t>
  </si>
  <si>
    <t>387.5</t>
  </si>
  <si>
    <t>27.07</t>
  </si>
  <si>
    <t>41.4</t>
  </si>
  <si>
    <t>201.06</t>
  </si>
  <si>
    <t>3600</t>
  </si>
  <si>
    <t>250</t>
  </si>
  <si>
    <t>MCQ 1 Mark</t>
  </si>
  <si>
    <t>MCQ 2 Mark</t>
  </si>
  <si>
    <t>MSQ 2 Mark</t>
  </si>
  <si>
    <t>NAT 1 Mark</t>
  </si>
  <si>
    <t>NAT 2 Mark</t>
  </si>
  <si>
    <t>Selected "Some points...", Key "Equilibrium prices..."</t>
  </si>
  <si>
    <t>Selected "J-Curve", Key "Laffer Curve"</t>
  </si>
  <si>
    <t>Selected "4/3...", Key "7/3..."</t>
  </si>
  <si>
    <t>Selected "15.12%", Key "16.32%"</t>
  </si>
  <si>
    <t>Selected Model B, Key Model A</t>
  </si>
  <si>
    <t>Selected "Repo &gt; Reverse...", Key "Marginal &gt; Repo..."</t>
  </si>
  <si>
    <t>Selected "Paasche Index", Key "Laspeyres Index"</t>
  </si>
  <si>
    <t>Selected "Battle of Sexes", Key "Purely randomises"</t>
  </si>
  <si>
    <t>Partially Correct Selection (0 Marks)</t>
  </si>
  <si>
    <t>Selected Extra Option D (Key C only)</t>
  </si>
  <si>
    <t>Selected Extra Option C (Key A; B)</t>
  </si>
  <si>
    <t>Your Ans: 7.25 (Range: 6.00 - 7.00)</t>
  </si>
  <si>
    <t>Your Ans: 0.75 (Range: 0.4 - 0.6)</t>
  </si>
  <si>
    <t>Your Ans: 16 (Range: 18 - 22)</t>
  </si>
  <si>
    <t>Your Ans: 387.5 (Range: 142 - 143)</t>
  </si>
  <si>
    <t>Your Ans: 201.06 (Range: 110 - 113)</t>
  </si>
  <si>
    <t>Your Ans: 2 (Key: -1)</t>
  </si>
  <si>
    <t>6. Make sure to apply the formula logic from the 2021 sheet to newly generated attempts to automatically calculate 'Marks Gotten'</t>
  </si>
  <si>
    <t>These sheets were generated from the respective HTML CBT test designed for each paper.</t>
  </si>
  <si>
    <t>3. CBT Simulation: You can use these sheets to To calculate your mark From the csv generated from the CBT tests given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</si>
</sst>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10" sqref="A10"/>
    </sheetView>
  </sheetViews>
  <sheetFormatPr defaultRowHeight="14.4" x14ac:dyDescent="0.3"/>
  <cols>
    <col min="1" max="1" width="120.6640625" style="1" customWidth="1"/>
  </cols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425</v>
      </c>
    </row>
    <row r="6" spans="1:1" x14ac:dyDescent="0.3">
      <c r="A6" s="1" t="s">
        <v>3</v>
      </c>
    </row>
    <row r="7" spans="1:1" x14ac:dyDescent="0.3">
      <c r="A7" s="1" t="s">
        <v>4</v>
      </c>
    </row>
    <row r="8" spans="1:1" x14ac:dyDescent="0.3">
      <c r="A8" s="1" t="s">
        <v>5</v>
      </c>
    </row>
    <row r="9" spans="1:1" x14ac:dyDescent="0.3">
      <c r="A9" s="1" t="s">
        <v>426</v>
      </c>
    </row>
    <row r="10" spans="1:1" x14ac:dyDescent="0.3">
      <c r="A10" s="1" t="s">
        <v>6</v>
      </c>
    </row>
    <row r="11" spans="1:1" x14ac:dyDescent="0.3">
      <c r="A11" s="1" t="s">
        <v>7</v>
      </c>
    </row>
    <row r="12" spans="1:1" x14ac:dyDescent="0.3">
      <c r="A12" s="1" t="s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2"/>
  <sheetViews>
    <sheetView zoomScale="66" workbookViewId="0">
      <selection activeCell="E33" sqref="E33"/>
    </sheetView>
  </sheetViews>
  <sheetFormatPr defaultRowHeight="14.4" x14ac:dyDescent="0.3"/>
  <cols>
    <col min="1" max="1" width="7.21875" bestFit="1" customWidth="1"/>
    <col min="2" max="2" width="10.77734375" bestFit="1" customWidth="1"/>
    <col min="3" max="3" width="13.33203125" bestFit="1" customWidth="1"/>
    <col min="4" max="4" width="21.77734375" bestFit="1" customWidth="1"/>
    <col min="5" max="5" width="14.5546875" bestFit="1" customWidth="1"/>
    <col min="6" max="6" width="11.88671875" bestFit="1" customWidth="1"/>
    <col min="7" max="7" width="13.33203125" bestFit="1" customWidth="1"/>
    <col min="8" max="8" width="12.21875" bestFit="1" customWidth="1"/>
    <col min="9" max="9" width="12.33203125" bestFit="1" customWidth="1"/>
    <col min="10" max="10" width="31.77734375" bestFit="1" customWidth="1"/>
    <col min="11" max="11" width="117.44140625" bestFit="1" customWidth="1"/>
  </cols>
  <sheetData>
    <row r="1" spans="1:11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9</v>
      </c>
      <c r="J1" s="2" t="s">
        <v>17</v>
      </c>
      <c r="K1" s="2" t="s">
        <v>18</v>
      </c>
    </row>
    <row r="2" spans="1:11" x14ac:dyDescent="0.3">
      <c r="A2" t="s">
        <v>19</v>
      </c>
      <c r="B2" s="3" t="s">
        <v>22</v>
      </c>
      <c r="C2" t="s">
        <v>83</v>
      </c>
      <c r="D2" t="s">
        <v>19</v>
      </c>
      <c r="E2" t="e" cm="1">
        <f t="array" ref="E2">IF(ISBLANK(C2), 0,
  _xlfn.IFS(
    AND(B2&gt;=1, B2&lt;=10), IF(C2=D2, 1, -1/3),
    AND(B2&gt;=11, B2&lt;=30), IF(C2=D2, 2, -2/3),
    AND(B2&gt;=31, B2&lt;=40), IF(C2=D2, 2, 0),
    AND(B2&gt;=41, B2&lt;=50), IF(C2=D2, 1, 0),
    AND(B2&gt;=51, B2&lt;=60), IF(C2=D2, 2, 0)
  )
)</f>
        <v>#N/A</v>
      </c>
      <c r="F2" t="s">
        <v>111</v>
      </c>
      <c r="G2">
        <v>226.3</v>
      </c>
      <c r="H2">
        <f>COUNTIF(F2,"=Unattempted") + COUNTIF(F2,"=Incorrect")</f>
        <v>1</v>
      </c>
      <c r="I2">
        <v>1</v>
      </c>
      <c r="J2">
        <f>IF(H2,I2,"")</f>
        <v>1</v>
      </c>
    </row>
    <row r="3" spans="1:11" x14ac:dyDescent="0.3">
      <c r="A3" t="s">
        <v>19</v>
      </c>
      <c r="B3" s="3" t="s">
        <v>23</v>
      </c>
      <c r="C3" t="s">
        <v>19</v>
      </c>
      <c r="D3" t="s">
        <v>19</v>
      </c>
      <c r="E3">
        <v>1</v>
      </c>
      <c r="F3" t="s">
        <v>112</v>
      </c>
      <c r="G3">
        <v>33.6</v>
      </c>
      <c r="H3">
        <f t="shared" ref="H3:H61" si="0">COUNTIF(F3,"=Unattempted") + COUNTIF(F3,"=Incorrect")</f>
        <v>0</v>
      </c>
      <c r="I3">
        <v>2</v>
      </c>
      <c r="J3" t="str">
        <f t="shared" ref="J3:J61" si="1">IF(H3,I3,"")</f>
        <v/>
      </c>
    </row>
    <row r="4" spans="1:11" x14ac:dyDescent="0.3">
      <c r="A4" t="s">
        <v>19</v>
      </c>
      <c r="B4" s="3" t="s">
        <v>24</v>
      </c>
      <c r="C4" t="s">
        <v>21</v>
      </c>
      <c r="D4" t="s">
        <v>21</v>
      </c>
      <c r="E4">
        <v>1</v>
      </c>
      <c r="F4" t="s">
        <v>112</v>
      </c>
      <c r="G4">
        <v>48.6</v>
      </c>
      <c r="H4">
        <f t="shared" si="0"/>
        <v>0</v>
      </c>
      <c r="I4">
        <v>3</v>
      </c>
      <c r="J4" t="str">
        <f t="shared" si="1"/>
        <v/>
      </c>
    </row>
    <row r="5" spans="1:11" x14ac:dyDescent="0.3">
      <c r="A5" t="s">
        <v>19</v>
      </c>
      <c r="B5" s="3" t="s">
        <v>25</v>
      </c>
      <c r="C5" t="s">
        <v>20</v>
      </c>
      <c r="D5" t="s">
        <v>20</v>
      </c>
      <c r="E5">
        <v>1</v>
      </c>
      <c r="F5" t="s">
        <v>112</v>
      </c>
      <c r="G5">
        <v>147.30000000000001</v>
      </c>
      <c r="H5">
        <f t="shared" si="0"/>
        <v>0</v>
      </c>
      <c r="I5">
        <v>4</v>
      </c>
      <c r="J5" t="str">
        <f t="shared" si="1"/>
        <v/>
      </c>
    </row>
    <row r="6" spans="1:11" x14ac:dyDescent="0.3">
      <c r="A6" t="s">
        <v>19</v>
      </c>
      <c r="B6" s="3" t="s">
        <v>26</v>
      </c>
      <c r="C6" t="s">
        <v>83</v>
      </c>
      <c r="D6" t="s">
        <v>83</v>
      </c>
      <c r="E6">
        <v>1</v>
      </c>
      <c r="F6" t="s">
        <v>112</v>
      </c>
      <c r="G6">
        <v>24.9</v>
      </c>
      <c r="H6">
        <f t="shared" si="0"/>
        <v>0</v>
      </c>
      <c r="I6">
        <v>5</v>
      </c>
      <c r="J6" t="str">
        <f t="shared" si="1"/>
        <v/>
      </c>
    </row>
    <row r="7" spans="1:11" x14ac:dyDescent="0.3">
      <c r="A7" t="s">
        <v>19</v>
      </c>
      <c r="B7" s="3" t="s">
        <v>27</v>
      </c>
      <c r="C7" t="s">
        <v>21</v>
      </c>
      <c r="D7" t="s">
        <v>20</v>
      </c>
      <c r="E7">
        <v>-0.33</v>
      </c>
      <c r="F7" t="s">
        <v>111</v>
      </c>
      <c r="G7">
        <v>79.2</v>
      </c>
      <c r="H7">
        <f t="shared" si="0"/>
        <v>1</v>
      </c>
      <c r="I7">
        <v>6</v>
      </c>
      <c r="J7">
        <f t="shared" si="1"/>
        <v>6</v>
      </c>
      <c r="K7" t="s">
        <v>114</v>
      </c>
    </row>
    <row r="8" spans="1:11" x14ac:dyDescent="0.3">
      <c r="A8" t="s">
        <v>19</v>
      </c>
      <c r="B8" s="3" t="s">
        <v>28</v>
      </c>
      <c r="C8" t="s">
        <v>19</v>
      </c>
      <c r="D8" t="s">
        <v>19</v>
      </c>
      <c r="E8">
        <v>1</v>
      </c>
      <c r="F8" t="s">
        <v>112</v>
      </c>
      <c r="G8">
        <v>38</v>
      </c>
      <c r="H8">
        <f t="shared" si="0"/>
        <v>0</v>
      </c>
      <c r="I8">
        <v>7</v>
      </c>
      <c r="J8" t="str">
        <f t="shared" si="1"/>
        <v/>
      </c>
    </row>
    <row r="9" spans="1:11" x14ac:dyDescent="0.3">
      <c r="A9" t="s">
        <v>19</v>
      </c>
      <c r="B9" s="3" t="s">
        <v>29</v>
      </c>
      <c r="C9" t="s">
        <v>19</v>
      </c>
      <c r="D9" t="s">
        <v>19</v>
      </c>
      <c r="E9">
        <v>1</v>
      </c>
      <c r="F9" t="s">
        <v>112</v>
      </c>
      <c r="G9">
        <v>125.6</v>
      </c>
      <c r="H9">
        <f t="shared" si="0"/>
        <v>0</v>
      </c>
      <c r="I9">
        <v>8</v>
      </c>
      <c r="J9" t="str">
        <f t="shared" si="1"/>
        <v/>
      </c>
    </row>
    <row r="10" spans="1:11" x14ac:dyDescent="0.3">
      <c r="A10" t="s">
        <v>19</v>
      </c>
      <c r="B10" s="3" t="s">
        <v>30</v>
      </c>
      <c r="C10" t="s">
        <v>20</v>
      </c>
      <c r="D10" t="s">
        <v>83</v>
      </c>
      <c r="E10">
        <v>-0.33</v>
      </c>
      <c r="F10" t="s">
        <v>111</v>
      </c>
      <c r="G10">
        <v>122.7</v>
      </c>
      <c r="H10">
        <f t="shared" si="0"/>
        <v>1</v>
      </c>
      <c r="I10">
        <v>9</v>
      </c>
      <c r="J10">
        <f t="shared" si="1"/>
        <v>9</v>
      </c>
      <c r="K10" t="s">
        <v>110</v>
      </c>
    </row>
    <row r="11" spans="1:11" x14ac:dyDescent="0.3">
      <c r="A11" t="s">
        <v>19</v>
      </c>
      <c r="B11" s="3" t="s">
        <v>31</v>
      </c>
      <c r="C11" t="s">
        <v>83</v>
      </c>
      <c r="D11" t="s">
        <v>83</v>
      </c>
      <c r="E11">
        <v>1</v>
      </c>
      <c r="F11" t="s">
        <v>112</v>
      </c>
      <c r="G11">
        <v>202.5</v>
      </c>
      <c r="H11">
        <f t="shared" si="0"/>
        <v>0</v>
      </c>
      <c r="I11">
        <v>10</v>
      </c>
      <c r="J11" t="str">
        <f t="shared" si="1"/>
        <v/>
      </c>
    </row>
    <row r="12" spans="1:11" x14ac:dyDescent="0.3">
      <c r="A12" t="s">
        <v>19</v>
      </c>
      <c r="B12" s="3" t="s">
        <v>32</v>
      </c>
      <c r="C12" t="s">
        <v>19</v>
      </c>
      <c r="D12" t="s">
        <v>83</v>
      </c>
      <c r="E12">
        <v>-0.67</v>
      </c>
      <c r="F12" t="s">
        <v>111</v>
      </c>
      <c r="G12">
        <v>126.8</v>
      </c>
      <c r="H12">
        <f t="shared" si="0"/>
        <v>1</v>
      </c>
      <c r="I12">
        <v>11</v>
      </c>
      <c r="J12">
        <f t="shared" si="1"/>
        <v>11</v>
      </c>
    </row>
    <row r="13" spans="1:11" x14ac:dyDescent="0.3">
      <c r="A13" t="s">
        <v>19</v>
      </c>
      <c r="B13" s="3" t="s">
        <v>33</v>
      </c>
      <c r="C13" t="s">
        <v>20</v>
      </c>
      <c r="D13" t="s">
        <v>20</v>
      </c>
      <c r="E13">
        <v>2</v>
      </c>
      <c r="F13" t="s">
        <v>112</v>
      </c>
      <c r="G13">
        <v>224.6</v>
      </c>
      <c r="H13">
        <f t="shared" si="0"/>
        <v>0</v>
      </c>
      <c r="I13">
        <v>12</v>
      </c>
      <c r="J13" t="str">
        <f t="shared" si="1"/>
        <v/>
      </c>
    </row>
    <row r="14" spans="1:11" x14ac:dyDescent="0.3">
      <c r="A14" t="s">
        <v>19</v>
      </c>
      <c r="B14" s="3" t="s">
        <v>34</v>
      </c>
      <c r="C14" t="s">
        <v>20</v>
      </c>
      <c r="D14" t="s">
        <v>20</v>
      </c>
      <c r="E14">
        <v>2</v>
      </c>
      <c r="F14" t="s">
        <v>112</v>
      </c>
      <c r="G14">
        <v>256.39999999999998</v>
      </c>
      <c r="H14">
        <f t="shared" si="0"/>
        <v>0</v>
      </c>
      <c r="I14">
        <v>13</v>
      </c>
      <c r="J14" t="str">
        <f t="shared" si="1"/>
        <v/>
      </c>
    </row>
    <row r="15" spans="1:11" x14ac:dyDescent="0.3">
      <c r="A15" t="s">
        <v>19</v>
      </c>
      <c r="B15" s="3" t="s">
        <v>35</v>
      </c>
      <c r="C15" t="s">
        <v>84</v>
      </c>
      <c r="D15" t="s">
        <v>83</v>
      </c>
      <c r="E15">
        <v>0</v>
      </c>
      <c r="F15" t="s">
        <v>113</v>
      </c>
      <c r="G15">
        <v>114.3</v>
      </c>
      <c r="H15">
        <f t="shared" si="0"/>
        <v>1</v>
      </c>
      <c r="I15">
        <v>14</v>
      </c>
      <c r="J15">
        <f t="shared" si="1"/>
        <v>14</v>
      </c>
    </row>
    <row r="16" spans="1:11" x14ac:dyDescent="0.3">
      <c r="A16" t="s">
        <v>19</v>
      </c>
      <c r="B16" s="3" t="s">
        <v>36</v>
      </c>
      <c r="C16" t="s">
        <v>19</v>
      </c>
      <c r="D16" t="s">
        <v>20</v>
      </c>
      <c r="E16">
        <v>-0.67</v>
      </c>
      <c r="F16" t="s">
        <v>111</v>
      </c>
      <c r="G16">
        <v>111.2</v>
      </c>
      <c r="H16">
        <f t="shared" si="0"/>
        <v>1</v>
      </c>
      <c r="I16">
        <v>15</v>
      </c>
      <c r="J16">
        <f t="shared" si="1"/>
        <v>15</v>
      </c>
    </row>
    <row r="17" spans="1:11" x14ac:dyDescent="0.3">
      <c r="A17" t="s">
        <v>19</v>
      </c>
      <c r="B17" s="3" t="s">
        <v>37</v>
      </c>
      <c r="C17" t="s">
        <v>19</v>
      </c>
      <c r="D17" t="s">
        <v>19</v>
      </c>
      <c r="E17">
        <v>2</v>
      </c>
      <c r="F17" t="s">
        <v>112</v>
      </c>
      <c r="G17">
        <v>54.2</v>
      </c>
      <c r="H17">
        <f t="shared" si="0"/>
        <v>0</v>
      </c>
      <c r="I17">
        <v>16</v>
      </c>
      <c r="J17" t="str">
        <f t="shared" si="1"/>
        <v/>
      </c>
    </row>
    <row r="18" spans="1:11" x14ac:dyDescent="0.3">
      <c r="A18" t="s">
        <v>19</v>
      </c>
      <c r="B18" s="3" t="s">
        <v>38</v>
      </c>
      <c r="C18" t="s">
        <v>83</v>
      </c>
      <c r="D18" t="s">
        <v>83</v>
      </c>
      <c r="E18">
        <v>2</v>
      </c>
      <c r="F18" t="s">
        <v>112</v>
      </c>
      <c r="G18">
        <v>118.9</v>
      </c>
      <c r="H18">
        <f t="shared" si="0"/>
        <v>0</v>
      </c>
      <c r="I18">
        <v>17</v>
      </c>
      <c r="J18" t="str">
        <f t="shared" si="1"/>
        <v/>
      </c>
    </row>
    <row r="19" spans="1:11" x14ac:dyDescent="0.3">
      <c r="A19" t="s">
        <v>19</v>
      </c>
      <c r="B19" s="3" t="s">
        <v>39</v>
      </c>
      <c r="C19" t="s">
        <v>21</v>
      </c>
      <c r="D19" t="s">
        <v>21</v>
      </c>
      <c r="E19">
        <v>2</v>
      </c>
      <c r="F19" t="s">
        <v>112</v>
      </c>
      <c r="G19">
        <v>238.6</v>
      </c>
      <c r="H19">
        <f t="shared" si="0"/>
        <v>0</v>
      </c>
      <c r="I19">
        <v>18</v>
      </c>
      <c r="J19" t="str">
        <f t="shared" si="1"/>
        <v/>
      </c>
    </row>
    <row r="20" spans="1:11" x14ac:dyDescent="0.3">
      <c r="A20" t="s">
        <v>19</v>
      </c>
      <c r="B20" s="3" t="s">
        <v>40</v>
      </c>
      <c r="C20" t="s">
        <v>21</v>
      </c>
      <c r="D20" t="s">
        <v>19</v>
      </c>
      <c r="E20">
        <v>-0.67</v>
      </c>
      <c r="F20" t="s">
        <v>111</v>
      </c>
      <c r="G20">
        <v>137.4</v>
      </c>
      <c r="H20">
        <f t="shared" si="0"/>
        <v>1</v>
      </c>
      <c r="I20">
        <v>19</v>
      </c>
      <c r="J20">
        <f t="shared" si="1"/>
        <v>19</v>
      </c>
    </row>
    <row r="21" spans="1:11" x14ac:dyDescent="0.3">
      <c r="A21" t="s">
        <v>19</v>
      </c>
      <c r="B21" s="3" t="s">
        <v>41</v>
      </c>
      <c r="C21" t="s">
        <v>21</v>
      </c>
      <c r="D21" t="s">
        <v>21</v>
      </c>
      <c r="E21">
        <v>2</v>
      </c>
      <c r="F21" t="s">
        <v>112</v>
      </c>
      <c r="G21">
        <v>56.4</v>
      </c>
      <c r="H21">
        <f t="shared" si="0"/>
        <v>0</v>
      </c>
      <c r="I21">
        <v>20</v>
      </c>
      <c r="J21" t="str">
        <f t="shared" si="1"/>
        <v/>
      </c>
    </row>
    <row r="22" spans="1:11" x14ac:dyDescent="0.3">
      <c r="A22" t="s">
        <v>19</v>
      </c>
      <c r="B22" s="3" t="s">
        <v>42</v>
      </c>
      <c r="C22" t="s">
        <v>21</v>
      </c>
      <c r="D22" t="s">
        <v>21</v>
      </c>
      <c r="E22">
        <v>2</v>
      </c>
      <c r="F22" t="s">
        <v>112</v>
      </c>
      <c r="G22">
        <v>309.89999999999998</v>
      </c>
      <c r="H22">
        <f t="shared" si="0"/>
        <v>0</v>
      </c>
      <c r="I22">
        <v>21</v>
      </c>
      <c r="J22" t="str">
        <f t="shared" si="1"/>
        <v/>
      </c>
    </row>
    <row r="23" spans="1:11" x14ac:dyDescent="0.3">
      <c r="A23" t="s">
        <v>19</v>
      </c>
      <c r="B23" s="3" t="s">
        <v>43</v>
      </c>
      <c r="C23" t="s">
        <v>84</v>
      </c>
      <c r="D23" t="s">
        <v>20</v>
      </c>
      <c r="E23">
        <v>0</v>
      </c>
      <c r="F23" t="s">
        <v>113</v>
      </c>
      <c r="G23">
        <v>49.9</v>
      </c>
      <c r="H23">
        <f t="shared" si="0"/>
        <v>1</v>
      </c>
      <c r="I23">
        <v>22</v>
      </c>
      <c r="J23">
        <f t="shared" si="1"/>
        <v>22</v>
      </c>
    </row>
    <row r="24" spans="1:11" x14ac:dyDescent="0.3">
      <c r="A24" t="s">
        <v>19</v>
      </c>
      <c r="B24" s="3" t="s">
        <v>44</v>
      </c>
      <c r="C24" t="s">
        <v>19</v>
      </c>
      <c r="D24" t="s">
        <v>20</v>
      </c>
      <c r="E24">
        <v>-0.67</v>
      </c>
      <c r="F24" t="s">
        <v>111</v>
      </c>
      <c r="G24">
        <v>220.7</v>
      </c>
      <c r="H24">
        <f t="shared" si="0"/>
        <v>1</v>
      </c>
      <c r="I24">
        <v>23</v>
      </c>
      <c r="J24">
        <f t="shared" si="1"/>
        <v>23</v>
      </c>
      <c r="K24" t="s">
        <v>115</v>
      </c>
    </row>
    <row r="25" spans="1:11" x14ac:dyDescent="0.3">
      <c r="A25" t="s">
        <v>19</v>
      </c>
      <c r="B25" s="3" t="s">
        <v>45</v>
      </c>
      <c r="C25" t="s">
        <v>84</v>
      </c>
      <c r="D25" t="s">
        <v>21</v>
      </c>
      <c r="E25">
        <v>0</v>
      </c>
      <c r="F25" t="s">
        <v>113</v>
      </c>
      <c r="G25">
        <v>443.5</v>
      </c>
      <c r="H25">
        <f t="shared" si="0"/>
        <v>1</v>
      </c>
      <c r="I25">
        <v>24</v>
      </c>
      <c r="J25">
        <f t="shared" si="1"/>
        <v>24</v>
      </c>
    </row>
    <row r="26" spans="1:11" x14ac:dyDescent="0.3">
      <c r="A26" t="s">
        <v>19</v>
      </c>
      <c r="B26" s="3" t="s">
        <v>46</v>
      </c>
      <c r="C26" t="s">
        <v>20</v>
      </c>
      <c r="D26" t="s">
        <v>20</v>
      </c>
      <c r="E26">
        <v>2</v>
      </c>
      <c r="F26" t="s">
        <v>112</v>
      </c>
      <c r="G26">
        <v>50.6</v>
      </c>
      <c r="H26">
        <f t="shared" si="0"/>
        <v>0</v>
      </c>
      <c r="I26">
        <v>25</v>
      </c>
      <c r="J26" t="str">
        <f t="shared" si="1"/>
        <v/>
      </c>
    </row>
    <row r="27" spans="1:11" x14ac:dyDescent="0.3">
      <c r="A27" t="s">
        <v>19</v>
      </c>
      <c r="B27" s="3" t="s">
        <v>47</v>
      </c>
      <c r="C27" t="s">
        <v>83</v>
      </c>
      <c r="D27" t="s">
        <v>83</v>
      </c>
      <c r="E27">
        <v>2</v>
      </c>
      <c r="F27" t="s">
        <v>112</v>
      </c>
      <c r="G27">
        <v>251.7</v>
      </c>
      <c r="H27">
        <f t="shared" si="0"/>
        <v>0</v>
      </c>
      <c r="I27">
        <v>26</v>
      </c>
      <c r="J27" t="str">
        <f t="shared" si="1"/>
        <v/>
      </c>
    </row>
    <row r="28" spans="1:11" x14ac:dyDescent="0.3">
      <c r="A28" t="s">
        <v>19</v>
      </c>
      <c r="B28" s="3" t="s">
        <v>48</v>
      </c>
      <c r="C28" t="s">
        <v>83</v>
      </c>
      <c r="D28" t="s">
        <v>20</v>
      </c>
      <c r="E28">
        <v>-0.67</v>
      </c>
      <c r="F28" t="s">
        <v>111</v>
      </c>
      <c r="G28">
        <v>58.2</v>
      </c>
      <c r="H28">
        <f t="shared" si="0"/>
        <v>1</v>
      </c>
      <c r="I28">
        <v>27</v>
      </c>
      <c r="J28">
        <f t="shared" si="1"/>
        <v>27</v>
      </c>
    </row>
    <row r="29" spans="1:11" x14ac:dyDescent="0.3">
      <c r="A29" t="s">
        <v>19</v>
      </c>
      <c r="B29" s="3" t="s">
        <v>49</v>
      </c>
      <c r="C29" t="s">
        <v>21</v>
      </c>
      <c r="D29" t="s">
        <v>20</v>
      </c>
      <c r="E29">
        <v>-0.67</v>
      </c>
      <c r="F29" t="s">
        <v>111</v>
      </c>
      <c r="G29">
        <v>119.7</v>
      </c>
      <c r="H29">
        <f t="shared" si="0"/>
        <v>1</v>
      </c>
      <c r="I29">
        <v>28</v>
      </c>
      <c r="J29">
        <f t="shared" si="1"/>
        <v>28</v>
      </c>
      <c r="K29" t="s">
        <v>116</v>
      </c>
    </row>
    <row r="30" spans="1:11" x14ac:dyDescent="0.3">
      <c r="A30" t="s">
        <v>19</v>
      </c>
      <c r="B30" s="3" t="s">
        <v>50</v>
      </c>
      <c r="C30" t="s">
        <v>21</v>
      </c>
      <c r="D30" t="s">
        <v>21</v>
      </c>
      <c r="E30">
        <v>2</v>
      </c>
      <c r="F30" t="s">
        <v>112</v>
      </c>
      <c r="G30">
        <v>60.1</v>
      </c>
      <c r="H30">
        <f t="shared" si="0"/>
        <v>0</v>
      </c>
      <c r="I30">
        <v>29</v>
      </c>
      <c r="J30" t="str">
        <f t="shared" si="1"/>
        <v/>
      </c>
    </row>
    <row r="31" spans="1:11" x14ac:dyDescent="0.3">
      <c r="A31" t="s">
        <v>19</v>
      </c>
      <c r="B31" s="3" t="s">
        <v>51</v>
      </c>
      <c r="C31" t="s">
        <v>20</v>
      </c>
      <c r="D31" t="s">
        <v>20</v>
      </c>
      <c r="E31">
        <v>2</v>
      </c>
      <c r="F31" t="s">
        <v>112</v>
      </c>
      <c r="G31">
        <v>67.900000000000006</v>
      </c>
      <c r="H31">
        <f t="shared" si="0"/>
        <v>0</v>
      </c>
      <c r="I31">
        <v>30</v>
      </c>
      <c r="J31" t="str">
        <f t="shared" si="1"/>
        <v/>
      </c>
    </row>
    <row r="32" spans="1:11" x14ac:dyDescent="0.3">
      <c r="A32" t="s">
        <v>20</v>
      </c>
      <c r="B32" s="3" t="s">
        <v>52</v>
      </c>
      <c r="C32" t="s">
        <v>85</v>
      </c>
      <c r="D32" t="s">
        <v>101</v>
      </c>
      <c r="E32">
        <v>0</v>
      </c>
      <c r="F32" t="s">
        <v>111</v>
      </c>
      <c r="G32">
        <v>92.6</v>
      </c>
      <c r="H32">
        <f t="shared" si="0"/>
        <v>1</v>
      </c>
      <c r="I32">
        <v>31</v>
      </c>
      <c r="J32">
        <f t="shared" si="1"/>
        <v>31</v>
      </c>
    </row>
    <row r="33" spans="1:11" x14ac:dyDescent="0.3">
      <c r="A33" t="s">
        <v>20</v>
      </c>
      <c r="B33" s="3" t="s">
        <v>53</v>
      </c>
      <c r="C33" t="s">
        <v>19</v>
      </c>
      <c r="D33" t="s">
        <v>101</v>
      </c>
      <c r="E33">
        <v>0</v>
      </c>
      <c r="F33" t="s">
        <v>111</v>
      </c>
      <c r="G33">
        <v>182.2</v>
      </c>
      <c r="H33">
        <f t="shared" si="0"/>
        <v>1</v>
      </c>
      <c r="I33">
        <v>32</v>
      </c>
      <c r="J33">
        <f t="shared" si="1"/>
        <v>32</v>
      </c>
      <c r="K33" t="s">
        <v>117</v>
      </c>
    </row>
    <row r="34" spans="1:11" x14ac:dyDescent="0.3">
      <c r="A34" t="s">
        <v>20</v>
      </c>
      <c r="B34" s="3" t="s">
        <v>54</v>
      </c>
      <c r="C34" t="s">
        <v>86</v>
      </c>
      <c r="D34" t="s">
        <v>102</v>
      </c>
      <c r="E34">
        <v>2</v>
      </c>
      <c r="F34" t="s">
        <v>112</v>
      </c>
      <c r="G34">
        <v>34.299999999999997</v>
      </c>
      <c r="H34">
        <f t="shared" si="0"/>
        <v>0</v>
      </c>
      <c r="I34">
        <v>33</v>
      </c>
      <c r="J34" t="str">
        <f t="shared" si="1"/>
        <v/>
      </c>
    </row>
    <row r="35" spans="1:11" x14ac:dyDescent="0.3">
      <c r="A35" t="s">
        <v>20</v>
      </c>
      <c r="B35" s="3" t="s">
        <v>55</v>
      </c>
      <c r="C35" t="s">
        <v>87</v>
      </c>
      <c r="D35" t="s">
        <v>103</v>
      </c>
      <c r="E35">
        <v>2</v>
      </c>
      <c r="F35" t="s">
        <v>112</v>
      </c>
      <c r="G35">
        <v>295.89999999999998</v>
      </c>
      <c r="H35">
        <f t="shared" si="0"/>
        <v>0</v>
      </c>
      <c r="I35">
        <v>34</v>
      </c>
      <c r="J35" t="str">
        <f t="shared" si="1"/>
        <v/>
      </c>
    </row>
    <row r="36" spans="1:11" x14ac:dyDescent="0.3">
      <c r="A36" t="s">
        <v>20</v>
      </c>
      <c r="B36" s="3" t="s">
        <v>56</v>
      </c>
      <c r="C36" t="s">
        <v>87</v>
      </c>
      <c r="D36" t="s">
        <v>103</v>
      </c>
      <c r="E36">
        <v>2</v>
      </c>
      <c r="F36" t="s">
        <v>112</v>
      </c>
      <c r="G36">
        <v>242.7</v>
      </c>
      <c r="H36">
        <f t="shared" si="0"/>
        <v>0</v>
      </c>
      <c r="I36">
        <v>35</v>
      </c>
      <c r="J36" t="str">
        <f t="shared" si="1"/>
        <v/>
      </c>
    </row>
    <row r="37" spans="1:11" x14ac:dyDescent="0.3">
      <c r="A37" t="s">
        <v>20</v>
      </c>
      <c r="B37" s="3" t="s">
        <v>57</v>
      </c>
      <c r="C37" t="s">
        <v>88</v>
      </c>
      <c r="D37" t="s">
        <v>104</v>
      </c>
      <c r="E37">
        <v>2</v>
      </c>
      <c r="F37" t="s">
        <v>112</v>
      </c>
      <c r="G37">
        <v>211.5</v>
      </c>
      <c r="H37">
        <f t="shared" si="0"/>
        <v>0</v>
      </c>
      <c r="I37">
        <v>36</v>
      </c>
      <c r="J37" t="str">
        <f t="shared" si="1"/>
        <v/>
      </c>
    </row>
    <row r="38" spans="1:11" x14ac:dyDescent="0.3">
      <c r="A38" t="s">
        <v>20</v>
      </c>
      <c r="B38" s="3" t="s">
        <v>58</v>
      </c>
      <c r="C38" t="s">
        <v>89</v>
      </c>
      <c r="D38" t="s">
        <v>105</v>
      </c>
      <c r="E38">
        <v>2</v>
      </c>
      <c r="F38" t="s">
        <v>112</v>
      </c>
      <c r="G38">
        <v>62.2</v>
      </c>
      <c r="H38">
        <f t="shared" si="0"/>
        <v>0</v>
      </c>
      <c r="I38">
        <v>37</v>
      </c>
      <c r="J38" t="str">
        <f t="shared" si="1"/>
        <v/>
      </c>
    </row>
    <row r="39" spans="1:11" x14ac:dyDescent="0.3">
      <c r="A39" t="s">
        <v>20</v>
      </c>
      <c r="B39" s="3" t="s">
        <v>59</v>
      </c>
      <c r="C39" t="s">
        <v>83</v>
      </c>
      <c r="D39" t="s">
        <v>106</v>
      </c>
      <c r="E39">
        <v>0</v>
      </c>
      <c r="F39" t="s">
        <v>111</v>
      </c>
      <c r="G39">
        <v>344.9</v>
      </c>
      <c r="H39">
        <f t="shared" si="0"/>
        <v>1</v>
      </c>
      <c r="I39">
        <v>38</v>
      </c>
      <c r="J39">
        <f t="shared" si="1"/>
        <v>38</v>
      </c>
    </row>
    <row r="40" spans="1:11" x14ac:dyDescent="0.3">
      <c r="A40" t="s">
        <v>20</v>
      </c>
      <c r="B40" s="3" t="s">
        <v>60</v>
      </c>
      <c r="C40" t="s">
        <v>89</v>
      </c>
      <c r="D40" t="s">
        <v>105</v>
      </c>
      <c r="E40">
        <v>2</v>
      </c>
      <c r="F40" t="s">
        <v>112</v>
      </c>
      <c r="G40">
        <v>136.6</v>
      </c>
      <c r="H40">
        <f t="shared" si="0"/>
        <v>0</v>
      </c>
      <c r="I40">
        <v>39</v>
      </c>
      <c r="J40" t="str">
        <f t="shared" si="1"/>
        <v/>
      </c>
    </row>
    <row r="41" spans="1:11" x14ac:dyDescent="0.3">
      <c r="A41" t="s">
        <v>20</v>
      </c>
      <c r="B41" s="3" t="s">
        <v>61</v>
      </c>
      <c r="C41" t="s">
        <v>90</v>
      </c>
      <c r="D41" t="s">
        <v>104</v>
      </c>
      <c r="E41">
        <v>0</v>
      </c>
      <c r="F41" t="s">
        <v>111</v>
      </c>
      <c r="G41">
        <v>107.8</v>
      </c>
      <c r="H41">
        <f t="shared" si="0"/>
        <v>1</v>
      </c>
      <c r="I41">
        <v>40</v>
      </c>
      <c r="J41">
        <f t="shared" si="1"/>
        <v>40</v>
      </c>
      <c r="K41" t="s">
        <v>118</v>
      </c>
    </row>
    <row r="42" spans="1:11" x14ac:dyDescent="0.3">
      <c r="A42" t="s">
        <v>21</v>
      </c>
      <c r="B42" s="3" t="s">
        <v>62</v>
      </c>
      <c r="C42" t="s">
        <v>91</v>
      </c>
      <c r="D42" t="s">
        <v>107</v>
      </c>
      <c r="E42">
        <v>0</v>
      </c>
      <c r="F42" t="s">
        <v>111</v>
      </c>
      <c r="G42">
        <v>134.4</v>
      </c>
      <c r="H42">
        <f t="shared" si="0"/>
        <v>1</v>
      </c>
      <c r="I42">
        <v>41</v>
      </c>
      <c r="J42">
        <f t="shared" si="1"/>
        <v>41</v>
      </c>
    </row>
    <row r="43" spans="1:11" x14ac:dyDescent="0.3">
      <c r="A43" t="s">
        <v>21</v>
      </c>
      <c r="B43" s="3" t="s">
        <v>63</v>
      </c>
      <c r="C43" t="s">
        <v>41</v>
      </c>
      <c r="D43" t="s">
        <v>61</v>
      </c>
      <c r="E43">
        <v>0</v>
      </c>
      <c r="F43" t="s">
        <v>111</v>
      </c>
      <c r="G43">
        <v>224.9</v>
      </c>
      <c r="H43">
        <f t="shared" si="0"/>
        <v>1</v>
      </c>
      <c r="I43">
        <v>42</v>
      </c>
      <c r="J43">
        <f t="shared" si="1"/>
        <v>42</v>
      </c>
    </row>
    <row r="44" spans="1:11" x14ac:dyDescent="0.3">
      <c r="A44" t="s">
        <v>21</v>
      </c>
      <c r="B44" s="3" t="s">
        <v>64</v>
      </c>
      <c r="C44" t="s">
        <v>92</v>
      </c>
      <c r="D44" t="s">
        <v>92</v>
      </c>
      <c r="E44">
        <v>1</v>
      </c>
      <c r="F44" t="s">
        <v>112</v>
      </c>
      <c r="G44">
        <v>61.5</v>
      </c>
      <c r="H44">
        <f t="shared" si="0"/>
        <v>0</v>
      </c>
      <c r="I44">
        <v>43</v>
      </c>
      <c r="J44" t="str">
        <f t="shared" si="1"/>
        <v/>
      </c>
    </row>
    <row r="45" spans="1:11" x14ac:dyDescent="0.3">
      <c r="A45" t="s">
        <v>21</v>
      </c>
      <c r="B45" s="3" t="s">
        <v>65</v>
      </c>
      <c r="C45" t="s">
        <v>30</v>
      </c>
      <c r="D45" t="s">
        <v>30</v>
      </c>
      <c r="E45">
        <v>1</v>
      </c>
      <c r="F45" t="s">
        <v>112</v>
      </c>
      <c r="G45">
        <v>657.2</v>
      </c>
      <c r="H45">
        <f t="shared" si="0"/>
        <v>0</v>
      </c>
      <c r="I45">
        <v>44</v>
      </c>
      <c r="J45" t="str">
        <f t="shared" si="1"/>
        <v/>
      </c>
    </row>
    <row r="46" spans="1:11" x14ac:dyDescent="0.3">
      <c r="A46" t="s">
        <v>21</v>
      </c>
      <c r="B46" s="3" t="s">
        <v>66</v>
      </c>
      <c r="C46" t="s">
        <v>93</v>
      </c>
      <c r="D46" t="s">
        <v>93</v>
      </c>
      <c r="E46">
        <v>1</v>
      </c>
      <c r="F46" t="s">
        <v>112</v>
      </c>
      <c r="G46">
        <v>171.8</v>
      </c>
      <c r="H46">
        <f t="shared" si="0"/>
        <v>0</v>
      </c>
      <c r="I46">
        <v>45</v>
      </c>
      <c r="J46" t="str">
        <f t="shared" si="1"/>
        <v/>
      </c>
    </row>
    <row r="47" spans="1:11" x14ac:dyDescent="0.3">
      <c r="A47" t="s">
        <v>21</v>
      </c>
      <c r="B47" s="3" t="s">
        <v>67</v>
      </c>
      <c r="C47" t="s">
        <v>22</v>
      </c>
      <c r="D47" t="s">
        <v>22</v>
      </c>
      <c r="E47">
        <v>1</v>
      </c>
      <c r="F47" t="s">
        <v>112</v>
      </c>
      <c r="G47">
        <v>140.69999999999999</v>
      </c>
      <c r="H47">
        <f t="shared" si="0"/>
        <v>0</v>
      </c>
      <c r="I47">
        <v>46</v>
      </c>
      <c r="J47" t="str">
        <f t="shared" si="1"/>
        <v/>
      </c>
    </row>
    <row r="48" spans="1:11" x14ac:dyDescent="0.3">
      <c r="A48" t="s">
        <v>21</v>
      </c>
      <c r="B48" s="3" t="s">
        <v>68</v>
      </c>
      <c r="C48" t="s">
        <v>28</v>
      </c>
      <c r="D48" t="s">
        <v>40</v>
      </c>
      <c r="E48">
        <v>0</v>
      </c>
      <c r="F48" t="s">
        <v>111</v>
      </c>
      <c r="G48">
        <v>287.39999999999998</v>
      </c>
      <c r="H48">
        <f t="shared" si="0"/>
        <v>1</v>
      </c>
      <c r="I48">
        <v>47</v>
      </c>
      <c r="J48">
        <f t="shared" si="1"/>
        <v>47</v>
      </c>
    </row>
    <row r="49" spans="1:11" x14ac:dyDescent="0.3">
      <c r="A49" t="s">
        <v>21</v>
      </c>
      <c r="B49" s="3" t="s">
        <v>69</v>
      </c>
      <c r="C49" t="s">
        <v>94</v>
      </c>
      <c r="D49" t="s">
        <v>94</v>
      </c>
      <c r="E49">
        <v>1</v>
      </c>
      <c r="F49" t="s">
        <v>112</v>
      </c>
      <c r="G49">
        <v>28.4</v>
      </c>
      <c r="H49">
        <f t="shared" si="0"/>
        <v>0</v>
      </c>
      <c r="I49">
        <v>48</v>
      </c>
      <c r="J49" t="str">
        <f t="shared" si="1"/>
        <v/>
      </c>
    </row>
    <row r="50" spans="1:11" x14ac:dyDescent="0.3">
      <c r="A50" t="s">
        <v>21</v>
      </c>
      <c r="B50" s="3" t="s">
        <v>70</v>
      </c>
      <c r="C50" t="s">
        <v>36</v>
      </c>
      <c r="D50" t="s">
        <v>31</v>
      </c>
      <c r="E50">
        <v>0</v>
      </c>
      <c r="F50" t="s">
        <v>111</v>
      </c>
      <c r="G50">
        <v>146.6</v>
      </c>
      <c r="H50">
        <f t="shared" si="0"/>
        <v>1</v>
      </c>
      <c r="I50">
        <v>49</v>
      </c>
      <c r="J50">
        <f t="shared" si="1"/>
        <v>49</v>
      </c>
    </row>
    <row r="51" spans="1:11" x14ac:dyDescent="0.3">
      <c r="A51" t="s">
        <v>21</v>
      </c>
      <c r="B51" s="3" t="s">
        <v>71</v>
      </c>
      <c r="C51" t="s">
        <v>95</v>
      </c>
      <c r="D51" t="s">
        <v>95</v>
      </c>
      <c r="E51">
        <v>1</v>
      </c>
      <c r="F51" t="s">
        <v>112</v>
      </c>
      <c r="G51">
        <v>144.9</v>
      </c>
      <c r="H51">
        <f t="shared" si="0"/>
        <v>0</v>
      </c>
      <c r="I51">
        <v>50</v>
      </c>
      <c r="J51" t="str">
        <f t="shared" si="1"/>
        <v/>
      </c>
    </row>
    <row r="52" spans="1:11" x14ac:dyDescent="0.3">
      <c r="A52" t="s">
        <v>21</v>
      </c>
      <c r="B52" s="3" t="s">
        <v>72</v>
      </c>
      <c r="C52" t="s">
        <v>23</v>
      </c>
      <c r="D52" t="s">
        <v>23</v>
      </c>
      <c r="E52">
        <v>2</v>
      </c>
      <c r="F52" t="s">
        <v>112</v>
      </c>
      <c r="G52">
        <v>229</v>
      </c>
      <c r="H52">
        <f t="shared" si="0"/>
        <v>0</v>
      </c>
      <c r="I52">
        <v>51</v>
      </c>
      <c r="J52" t="str">
        <f t="shared" si="1"/>
        <v/>
      </c>
    </row>
    <row r="53" spans="1:11" x14ac:dyDescent="0.3">
      <c r="A53" t="s">
        <v>21</v>
      </c>
      <c r="B53" s="3" t="s">
        <v>73</v>
      </c>
      <c r="C53" t="s">
        <v>96</v>
      </c>
      <c r="D53" t="s">
        <v>108</v>
      </c>
      <c r="E53">
        <v>0</v>
      </c>
      <c r="F53" t="s">
        <v>111</v>
      </c>
      <c r="G53">
        <v>450.3</v>
      </c>
      <c r="H53">
        <f t="shared" si="0"/>
        <v>1</v>
      </c>
      <c r="I53">
        <v>52</v>
      </c>
      <c r="J53">
        <f t="shared" si="1"/>
        <v>52</v>
      </c>
    </row>
    <row r="54" spans="1:11" x14ac:dyDescent="0.3">
      <c r="A54" t="s">
        <v>21</v>
      </c>
      <c r="B54" s="3" t="s">
        <v>74</v>
      </c>
      <c r="C54" t="s">
        <v>97</v>
      </c>
      <c r="D54" t="s">
        <v>97</v>
      </c>
      <c r="E54">
        <v>2</v>
      </c>
      <c r="F54" t="s">
        <v>112</v>
      </c>
      <c r="G54">
        <v>112.8</v>
      </c>
      <c r="H54">
        <f t="shared" si="0"/>
        <v>0</v>
      </c>
      <c r="I54">
        <v>53</v>
      </c>
      <c r="J54" t="str">
        <f t="shared" si="1"/>
        <v/>
      </c>
    </row>
    <row r="55" spans="1:11" x14ac:dyDescent="0.3">
      <c r="A55" t="s">
        <v>21</v>
      </c>
      <c r="B55" s="3" t="s">
        <v>75</v>
      </c>
      <c r="C55" t="s">
        <v>98</v>
      </c>
      <c r="D55" t="s">
        <v>109</v>
      </c>
      <c r="E55">
        <v>0</v>
      </c>
      <c r="F55" t="s">
        <v>111</v>
      </c>
      <c r="G55">
        <v>318.7</v>
      </c>
      <c r="H55">
        <f t="shared" si="0"/>
        <v>1</v>
      </c>
      <c r="I55">
        <v>54</v>
      </c>
      <c r="J55">
        <f t="shared" si="1"/>
        <v>54</v>
      </c>
      <c r="K55" t="s">
        <v>119</v>
      </c>
    </row>
    <row r="56" spans="1:11" x14ac:dyDescent="0.3">
      <c r="A56" t="s">
        <v>21</v>
      </c>
      <c r="B56" s="3" t="s">
        <v>76</v>
      </c>
      <c r="C56" t="s">
        <v>99</v>
      </c>
      <c r="D56" t="s">
        <v>99</v>
      </c>
      <c r="E56">
        <v>2</v>
      </c>
      <c r="F56" t="s">
        <v>112</v>
      </c>
      <c r="G56">
        <v>411</v>
      </c>
      <c r="H56">
        <f t="shared" si="0"/>
        <v>0</v>
      </c>
      <c r="I56">
        <v>55</v>
      </c>
      <c r="J56" t="str">
        <f t="shared" si="1"/>
        <v/>
      </c>
    </row>
    <row r="57" spans="1:11" x14ac:dyDescent="0.3">
      <c r="A57" t="s">
        <v>21</v>
      </c>
      <c r="B57" s="3" t="s">
        <v>77</v>
      </c>
      <c r="C57" t="s">
        <v>84</v>
      </c>
      <c r="D57" t="s">
        <v>24</v>
      </c>
      <c r="E57">
        <v>0</v>
      </c>
      <c r="F57" t="s">
        <v>113</v>
      </c>
      <c r="G57">
        <v>89.4</v>
      </c>
      <c r="H57">
        <f t="shared" si="0"/>
        <v>1</v>
      </c>
      <c r="I57">
        <v>56</v>
      </c>
      <c r="J57">
        <f t="shared" si="1"/>
        <v>56</v>
      </c>
    </row>
    <row r="58" spans="1:11" x14ac:dyDescent="0.3">
      <c r="A58" t="s">
        <v>21</v>
      </c>
      <c r="B58" s="3" t="s">
        <v>78</v>
      </c>
      <c r="C58" t="s">
        <v>84</v>
      </c>
      <c r="D58" t="s">
        <v>37</v>
      </c>
      <c r="E58">
        <v>0</v>
      </c>
      <c r="F58" t="s">
        <v>113</v>
      </c>
      <c r="G58">
        <v>301.60000000000002</v>
      </c>
      <c r="H58">
        <f t="shared" si="0"/>
        <v>1</v>
      </c>
      <c r="I58">
        <v>57</v>
      </c>
      <c r="J58">
        <f t="shared" si="1"/>
        <v>57</v>
      </c>
    </row>
    <row r="59" spans="1:11" x14ac:dyDescent="0.3">
      <c r="A59" t="s">
        <v>21</v>
      </c>
      <c r="B59" s="3" t="s">
        <v>79</v>
      </c>
      <c r="C59" t="s">
        <v>30</v>
      </c>
      <c r="D59" t="s">
        <v>30</v>
      </c>
      <c r="E59">
        <v>2</v>
      </c>
      <c r="F59" t="s">
        <v>112</v>
      </c>
      <c r="G59">
        <v>357.8</v>
      </c>
      <c r="H59">
        <f t="shared" si="0"/>
        <v>0</v>
      </c>
      <c r="I59">
        <v>58</v>
      </c>
      <c r="J59" t="str">
        <f t="shared" si="1"/>
        <v/>
      </c>
    </row>
    <row r="60" spans="1:11" x14ac:dyDescent="0.3">
      <c r="A60" t="s">
        <v>21</v>
      </c>
      <c r="B60" s="3" t="s">
        <v>80</v>
      </c>
      <c r="C60" t="s">
        <v>100</v>
      </c>
      <c r="D60" t="s">
        <v>100</v>
      </c>
      <c r="E60">
        <v>2</v>
      </c>
      <c r="F60" t="s">
        <v>112</v>
      </c>
      <c r="G60">
        <v>403.8</v>
      </c>
      <c r="H60">
        <f t="shared" si="0"/>
        <v>0</v>
      </c>
      <c r="I60">
        <v>59</v>
      </c>
      <c r="J60" t="str">
        <f t="shared" si="1"/>
        <v/>
      </c>
    </row>
    <row r="61" spans="1:11" x14ac:dyDescent="0.3">
      <c r="A61" t="s">
        <v>21</v>
      </c>
      <c r="B61" s="3" t="s">
        <v>81</v>
      </c>
      <c r="C61" t="s">
        <v>44</v>
      </c>
      <c r="D61" t="s">
        <v>44</v>
      </c>
      <c r="E61">
        <v>2</v>
      </c>
      <c r="F61" t="s">
        <v>112</v>
      </c>
      <c r="G61">
        <v>398.8</v>
      </c>
      <c r="H61">
        <f t="shared" si="0"/>
        <v>0</v>
      </c>
      <c r="I61">
        <v>60</v>
      </c>
      <c r="J61" t="str">
        <f t="shared" si="1"/>
        <v/>
      </c>
    </row>
    <row r="62" spans="1:11" x14ac:dyDescent="0.3">
      <c r="B62" s="3" t="s">
        <v>82</v>
      </c>
      <c r="D62" t="s">
        <v>110</v>
      </c>
      <c r="E62">
        <v>53.99</v>
      </c>
      <c r="H62">
        <f>SUM(H2:H61)</f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2"/>
  <sheetViews>
    <sheetView workbookViewId="0"/>
  </sheetViews>
  <sheetFormatPr defaultRowHeight="14.4" x14ac:dyDescent="0.3"/>
  <sheetData>
    <row r="1" spans="1:11" x14ac:dyDescent="0.3">
      <c r="A1" s="2" t="s">
        <v>8</v>
      </c>
      <c r="B1" s="2" t="s">
        <v>9</v>
      </c>
      <c r="C1" s="2" t="s">
        <v>10</v>
      </c>
      <c r="D1" s="2" t="s">
        <v>120</v>
      </c>
      <c r="E1" s="2" t="s">
        <v>12</v>
      </c>
      <c r="F1" s="2" t="s">
        <v>14</v>
      </c>
      <c r="G1" s="2" t="s">
        <v>121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 x14ac:dyDescent="0.3">
      <c r="A2" t="s">
        <v>19</v>
      </c>
      <c r="B2">
        <v>1</v>
      </c>
      <c r="C2" t="s">
        <v>20</v>
      </c>
      <c r="D2" t="s">
        <v>20</v>
      </c>
      <c r="E2">
        <v>1</v>
      </c>
      <c r="F2">
        <v>182.5</v>
      </c>
      <c r="G2" t="s">
        <v>112</v>
      </c>
      <c r="H2">
        <v>0</v>
      </c>
      <c r="I2">
        <v>1</v>
      </c>
    </row>
    <row r="3" spans="1:11" x14ac:dyDescent="0.3">
      <c r="A3" t="s">
        <v>19</v>
      </c>
      <c r="B3">
        <v>2</v>
      </c>
      <c r="C3" t="s">
        <v>83</v>
      </c>
      <c r="D3" t="s">
        <v>83</v>
      </c>
      <c r="E3">
        <v>1</v>
      </c>
      <c r="F3">
        <v>90.8</v>
      </c>
      <c r="G3" t="s">
        <v>112</v>
      </c>
      <c r="H3">
        <v>0</v>
      </c>
      <c r="I3">
        <v>2</v>
      </c>
    </row>
    <row r="4" spans="1:11" x14ac:dyDescent="0.3">
      <c r="A4" t="s">
        <v>19</v>
      </c>
      <c r="B4">
        <v>3</v>
      </c>
      <c r="C4" t="s">
        <v>19</v>
      </c>
      <c r="D4" t="s">
        <v>19</v>
      </c>
      <c r="E4">
        <v>1</v>
      </c>
      <c r="F4">
        <v>293.2</v>
      </c>
      <c r="G4" t="s">
        <v>112</v>
      </c>
      <c r="H4">
        <v>0</v>
      </c>
      <c r="I4">
        <v>3</v>
      </c>
    </row>
    <row r="5" spans="1:11" x14ac:dyDescent="0.3">
      <c r="A5" t="s">
        <v>19</v>
      </c>
      <c r="B5">
        <v>4</v>
      </c>
      <c r="C5" t="s">
        <v>20</v>
      </c>
      <c r="D5" t="s">
        <v>20</v>
      </c>
      <c r="E5">
        <v>1</v>
      </c>
      <c r="F5">
        <v>115.6</v>
      </c>
      <c r="G5" t="s">
        <v>112</v>
      </c>
      <c r="H5">
        <v>0</v>
      </c>
      <c r="I5">
        <v>4</v>
      </c>
    </row>
    <row r="6" spans="1:11" x14ac:dyDescent="0.3">
      <c r="A6" t="s">
        <v>19</v>
      </c>
      <c r="B6">
        <v>5</v>
      </c>
      <c r="C6" t="s">
        <v>19</v>
      </c>
      <c r="D6" t="s">
        <v>20</v>
      </c>
      <c r="E6">
        <v>-0.33333333300000001</v>
      </c>
      <c r="F6">
        <v>29.5</v>
      </c>
      <c r="G6" t="s">
        <v>111</v>
      </c>
      <c r="H6">
        <v>1</v>
      </c>
      <c r="I6">
        <v>5</v>
      </c>
      <c r="J6">
        <v>5</v>
      </c>
    </row>
    <row r="7" spans="1:11" x14ac:dyDescent="0.3">
      <c r="A7" t="s">
        <v>19</v>
      </c>
      <c r="B7">
        <v>6</v>
      </c>
      <c r="C7" t="s">
        <v>21</v>
      </c>
      <c r="D7" t="s">
        <v>136</v>
      </c>
      <c r="E7">
        <v>1</v>
      </c>
      <c r="F7">
        <v>105.8</v>
      </c>
      <c r="G7" t="s">
        <v>111</v>
      </c>
      <c r="H7">
        <v>1</v>
      </c>
      <c r="I7">
        <v>6</v>
      </c>
      <c r="J7">
        <v>6</v>
      </c>
    </row>
    <row r="8" spans="1:11" x14ac:dyDescent="0.3">
      <c r="A8" t="s">
        <v>19</v>
      </c>
      <c r="B8">
        <v>7</v>
      </c>
      <c r="C8" t="s">
        <v>21</v>
      </c>
      <c r="D8" t="s">
        <v>21</v>
      </c>
      <c r="E8">
        <v>1</v>
      </c>
      <c r="F8">
        <v>25</v>
      </c>
      <c r="G8" t="s">
        <v>112</v>
      </c>
      <c r="H8">
        <v>0</v>
      </c>
      <c r="I8">
        <v>7</v>
      </c>
      <c r="K8" t="s">
        <v>148</v>
      </c>
    </row>
    <row r="9" spans="1:11" x14ac:dyDescent="0.3">
      <c r="A9" t="s">
        <v>19</v>
      </c>
      <c r="B9">
        <v>8</v>
      </c>
      <c r="C9" t="s">
        <v>21</v>
      </c>
      <c r="D9" t="s">
        <v>21</v>
      </c>
      <c r="E9">
        <v>1</v>
      </c>
      <c r="F9">
        <v>40.9</v>
      </c>
      <c r="G9" t="s">
        <v>112</v>
      </c>
      <c r="H9">
        <v>0</v>
      </c>
      <c r="I9">
        <v>8</v>
      </c>
    </row>
    <row r="10" spans="1:11" x14ac:dyDescent="0.3">
      <c r="A10" t="s">
        <v>19</v>
      </c>
      <c r="B10">
        <v>9</v>
      </c>
      <c r="C10" t="s">
        <v>20</v>
      </c>
      <c r="D10" t="s">
        <v>21</v>
      </c>
      <c r="E10">
        <v>-0.33333333300000001</v>
      </c>
      <c r="F10">
        <v>221.7</v>
      </c>
      <c r="G10" t="s">
        <v>111</v>
      </c>
      <c r="H10">
        <v>1</v>
      </c>
      <c r="I10">
        <v>9</v>
      </c>
      <c r="J10">
        <v>9</v>
      </c>
      <c r="K10" t="s">
        <v>149</v>
      </c>
    </row>
    <row r="11" spans="1:11" x14ac:dyDescent="0.3">
      <c r="A11" t="s">
        <v>19</v>
      </c>
      <c r="B11">
        <v>10</v>
      </c>
      <c r="C11" t="s">
        <v>21</v>
      </c>
      <c r="D11" t="s">
        <v>21</v>
      </c>
      <c r="E11">
        <v>1</v>
      </c>
      <c r="F11">
        <v>2.5</v>
      </c>
      <c r="G11" t="s">
        <v>112</v>
      </c>
      <c r="H11">
        <v>0</v>
      </c>
      <c r="I11">
        <v>10</v>
      </c>
    </row>
    <row r="12" spans="1:11" x14ac:dyDescent="0.3">
      <c r="A12" t="s">
        <v>19</v>
      </c>
      <c r="B12">
        <v>11</v>
      </c>
      <c r="C12" t="s">
        <v>83</v>
      </c>
      <c r="D12" t="s">
        <v>83</v>
      </c>
      <c r="E12">
        <v>2</v>
      </c>
      <c r="F12">
        <v>111.4</v>
      </c>
      <c r="G12" t="s">
        <v>112</v>
      </c>
      <c r="H12">
        <v>0</v>
      </c>
      <c r="I12">
        <v>11</v>
      </c>
    </row>
    <row r="13" spans="1:11" x14ac:dyDescent="0.3">
      <c r="A13" t="s">
        <v>19</v>
      </c>
      <c r="B13">
        <v>12</v>
      </c>
      <c r="C13" t="s">
        <v>83</v>
      </c>
      <c r="D13" t="s">
        <v>83</v>
      </c>
      <c r="E13">
        <v>2</v>
      </c>
      <c r="F13">
        <v>48.7</v>
      </c>
      <c r="G13" t="s">
        <v>112</v>
      </c>
      <c r="H13">
        <v>0</v>
      </c>
      <c r="I13">
        <v>12</v>
      </c>
    </row>
    <row r="14" spans="1:11" x14ac:dyDescent="0.3">
      <c r="A14" t="s">
        <v>19</v>
      </c>
      <c r="B14">
        <v>13</v>
      </c>
      <c r="C14" t="s">
        <v>20</v>
      </c>
      <c r="D14" t="s">
        <v>20</v>
      </c>
      <c r="E14">
        <v>2</v>
      </c>
      <c r="F14">
        <v>78.599999999999994</v>
      </c>
      <c r="G14" t="s">
        <v>112</v>
      </c>
      <c r="H14">
        <v>0</v>
      </c>
      <c r="I14">
        <v>13</v>
      </c>
    </row>
    <row r="15" spans="1:11" x14ac:dyDescent="0.3">
      <c r="A15" t="s">
        <v>19</v>
      </c>
      <c r="B15">
        <v>14</v>
      </c>
      <c r="C15" t="s">
        <v>20</v>
      </c>
      <c r="D15" t="s">
        <v>19</v>
      </c>
      <c r="E15">
        <v>-0.66666666699999999</v>
      </c>
      <c r="F15">
        <v>614</v>
      </c>
      <c r="G15" t="s">
        <v>111</v>
      </c>
      <c r="H15">
        <v>1</v>
      </c>
      <c r="I15">
        <v>14</v>
      </c>
      <c r="J15">
        <v>14</v>
      </c>
    </row>
    <row r="16" spans="1:11" x14ac:dyDescent="0.3">
      <c r="A16" t="s">
        <v>19</v>
      </c>
      <c r="B16">
        <v>15</v>
      </c>
      <c r="C16" t="s">
        <v>20</v>
      </c>
      <c r="D16" t="s">
        <v>20</v>
      </c>
      <c r="E16">
        <v>2</v>
      </c>
      <c r="F16">
        <v>42.4</v>
      </c>
      <c r="G16" t="s">
        <v>112</v>
      </c>
      <c r="H16">
        <v>0</v>
      </c>
      <c r="I16">
        <v>15</v>
      </c>
    </row>
    <row r="17" spans="1:11" x14ac:dyDescent="0.3">
      <c r="A17" t="s">
        <v>19</v>
      </c>
      <c r="B17">
        <v>16</v>
      </c>
      <c r="C17" t="s">
        <v>20</v>
      </c>
      <c r="D17" t="s">
        <v>20</v>
      </c>
      <c r="E17">
        <v>2</v>
      </c>
      <c r="F17">
        <v>302.2</v>
      </c>
      <c r="G17" t="s">
        <v>112</v>
      </c>
      <c r="H17">
        <v>0</v>
      </c>
      <c r="I17">
        <v>16</v>
      </c>
      <c r="K17" t="s">
        <v>150</v>
      </c>
    </row>
    <row r="18" spans="1:11" x14ac:dyDescent="0.3">
      <c r="A18" t="s">
        <v>19</v>
      </c>
      <c r="B18">
        <v>17</v>
      </c>
      <c r="C18" t="s">
        <v>19</v>
      </c>
      <c r="D18" t="s">
        <v>19</v>
      </c>
      <c r="E18">
        <v>2</v>
      </c>
      <c r="F18">
        <v>159.4</v>
      </c>
      <c r="G18" t="s">
        <v>112</v>
      </c>
      <c r="H18">
        <v>0</v>
      </c>
      <c r="I18">
        <v>17</v>
      </c>
      <c r="K18" t="s">
        <v>151</v>
      </c>
    </row>
    <row r="19" spans="1:11" x14ac:dyDescent="0.3">
      <c r="A19" t="s">
        <v>19</v>
      </c>
      <c r="B19">
        <v>18</v>
      </c>
      <c r="C19" t="s">
        <v>21</v>
      </c>
      <c r="D19" t="s">
        <v>21</v>
      </c>
      <c r="E19">
        <v>2</v>
      </c>
      <c r="F19">
        <v>53.4</v>
      </c>
      <c r="G19" t="s">
        <v>112</v>
      </c>
      <c r="H19">
        <v>0</v>
      </c>
      <c r="I19">
        <v>18</v>
      </c>
    </row>
    <row r="20" spans="1:11" x14ac:dyDescent="0.3">
      <c r="A20" t="s">
        <v>19</v>
      </c>
      <c r="B20">
        <v>19</v>
      </c>
      <c r="C20" t="s">
        <v>83</v>
      </c>
      <c r="D20" t="s">
        <v>83</v>
      </c>
      <c r="E20">
        <v>2</v>
      </c>
      <c r="F20">
        <v>108.6</v>
      </c>
      <c r="G20" t="s">
        <v>112</v>
      </c>
      <c r="H20">
        <v>0</v>
      </c>
      <c r="I20">
        <v>19</v>
      </c>
    </row>
    <row r="21" spans="1:11" x14ac:dyDescent="0.3">
      <c r="A21" t="s">
        <v>19</v>
      </c>
      <c r="B21">
        <v>20</v>
      </c>
      <c r="C21" t="s">
        <v>20</v>
      </c>
      <c r="D21" t="s">
        <v>20</v>
      </c>
      <c r="E21">
        <v>2</v>
      </c>
      <c r="F21">
        <v>27.2</v>
      </c>
      <c r="G21" t="s">
        <v>112</v>
      </c>
      <c r="H21">
        <v>0</v>
      </c>
      <c r="I21">
        <v>20</v>
      </c>
    </row>
    <row r="22" spans="1:11" x14ac:dyDescent="0.3">
      <c r="A22" t="s">
        <v>19</v>
      </c>
      <c r="B22">
        <v>21</v>
      </c>
      <c r="C22" t="s">
        <v>83</v>
      </c>
      <c r="D22" t="s">
        <v>83</v>
      </c>
      <c r="E22">
        <v>2</v>
      </c>
      <c r="F22">
        <v>508.4</v>
      </c>
      <c r="G22" t="s">
        <v>112</v>
      </c>
      <c r="H22">
        <v>0</v>
      </c>
      <c r="I22">
        <v>21</v>
      </c>
    </row>
    <row r="23" spans="1:11" x14ac:dyDescent="0.3">
      <c r="A23" t="s">
        <v>19</v>
      </c>
      <c r="B23">
        <v>22</v>
      </c>
      <c r="C23" t="s">
        <v>84</v>
      </c>
      <c r="D23" t="s">
        <v>20</v>
      </c>
      <c r="E23">
        <v>0</v>
      </c>
      <c r="F23">
        <v>23.1</v>
      </c>
      <c r="G23" t="s">
        <v>113</v>
      </c>
      <c r="H23">
        <v>1</v>
      </c>
      <c r="I23">
        <v>22</v>
      </c>
      <c r="J23">
        <v>22</v>
      </c>
    </row>
    <row r="24" spans="1:11" x14ac:dyDescent="0.3">
      <c r="A24" t="s">
        <v>19</v>
      </c>
      <c r="B24">
        <v>23</v>
      </c>
      <c r="C24" t="s">
        <v>83</v>
      </c>
      <c r="D24" t="s">
        <v>136</v>
      </c>
      <c r="E24">
        <v>2</v>
      </c>
      <c r="F24">
        <v>280.5</v>
      </c>
      <c r="G24" t="s">
        <v>112</v>
      </c>
      <c r="H24">
        <v>0</v>
      </c>
      <c r="I24">
        <v>23</v>
      </c>
      <c r="K24" t="s">
        <v>152</v>
      </c>
    </row>
    <row r="25" spans="1:11" x14ac:dyDescent="0.3">
      <c r="A25" t="s">
        <v>19</v>
      </c>
      <c r="B25">
        <v>24</v>
      </c>
      <c r="C25" t="s">
        <v>83</v>
      </c>
      <c r="D25" t="s">
        <v>83</v>
      </c>
      <c r="E25">
        <v>2</v>
      </c>
      <c r="F25">
        <v>207.3</v>
      </c>
      <c r="G25" t="s">
        <v>112</v>
      </c>
      <c r="H25">
        <v>0</v>
      </c>
      <c r="I25">
        <v>24</v>
      </c>
    </row>
    <row r="26" spans="1:11" x14ac:dyDescent="0.3">
      <c r="A26" t="s">
        <v>19</v>
      </c>
      <c r="B26">
        <v>25</v>
      </c>
      <c r="C26" t="s">
        <v>19</v>
      </c>
      <c r="D26" t="s">
        <v>19</v>
      </c>
      <c r="E26">
        <v>2</v>
      </c>
      <c r="F26">
        <v>64.400000000000006</v>
      </c>
      <c r="G26" t="s">
        <v>112</v>
      </c>
      <c r="H26">
        <v>0</v>
      </c>
      <c r="I26">
        <v>25</v>
      </c>
    </row>
    <row r="27" spans="1:11" x14ac:dyDescent="0.3">
      <c r="A27" t="s">
        <v>19</v>
      </c>
      <c r="B27">
        <v>26</v>
      </c>
      <c r="C27" t="s">
        <v>20</v>
      </c>
      <c r="D27" t="s">
        <v>20</v>
      </c>
      <c r="E27">
        <v>2</v>
      </c>
      <c r="F27">
        <v>318.60000000000002</v>
      </c>
      <c r="G27" t="s">
        <v>112</v>
      </c>
      <c r="H27">
        <v>0</v>
      </c>
      <c r="I27">
        <v>26</v>
      </c>
    </row>
    <row r="28" spans="1:11" x14ac:dyDescent="0.3">
      <c r="A28" t="s">
        <v>19</v>
      </c>
      <c r="B28">
        <v>27</v>
      </c>
      <c r="C28" t="s">
        <v>20</v>
      </c>
      <c r="D28" t="s">
        <v>20</v>
      </c>
      <c r="E28">
        <v>2</v>
      </c>
      <c r="F28">
        <v>119</v>
      </c>
      <c r="G28" t="s">
        <v>112</v>
      </c>
      <c r="H28">
        <v>0</v>
      </c>
      <c r="I28">
        <v>27</v>
      </c>
      <c r="K28" t="s">
        <v>153</v>
      </c>
    </row>
    <row r="29" spans="1:11" x14ac:dyDescent="0.3">
      <c r="A29" t="s">
        <v>19</v>
      </c>
      <c r="B29">
        <v>28</v>
      </c>
      <c r="C29" t="s">
        <v>19</v>
      </c>
      <c r="D29" t="s">
        <v>19</v>
      </c>
      <c r="E29">
        <v>2</v>
      </c>
      <c r="F29">
        <v>58.5</v>
      </c>
      <c r="G29" t="s">
        <v>112</v>
      </c>
      <c r="H29">
        <v>0</v>
      </c>
      <c r="I29">
        <v>28</v>
      </c>
    </row>
    <row r="30" spans="1:11" x14ac:dyDescent="0.3">
      <c r="A30" t="s">
        <v>19</v>
      </c>
      <c r="B30">
        <v>29</v>
      </c>
      <c r="C30" t="s">
        <v>83</v>
      </c>
      <c r="D30" t="s">
        <v>83</v>
      </c>
      <c r="E30">
        <v>2</v>
      </c>
      <c r="F30">
        <v>79.3</v>
      </c>
      <c r="G30" t="s">
        <v>112</v>
      </c>
      <c r="H30">
        <v>0</v>
      </c>
      <c r="I30">
        <v>29</v>
      </c>
    </row>
    <row r="31" spans="1:11" x14ac:dyDescent="0.3">
      <c r="A31" t="s">
        <v>19</v>
      </c>
      <c r="B31">
        <v>30</v>
      </c>
      <c r="C31" t="s">
        <v>19</v>
      </c>
      <c r="D31" t="s">
        <v>19</v>
      </c>
      <c r="E31">
        <v>2</v>
      </c>
      <c r="F31">
        <v>371.5</v>
      </c>
      <c r="G31" t="s">
        <v>112</v>
      </c>
      <c r="H31">
        <v>0</v>
      </c>
      <c r="I31">
        <v>30</v>
      </c>
    </row>
    <row r="32" spans="1:11" x14ac:dyDescent="0.3">
      <c r="A32" t="s">
        <v>20</v>
      </c>
      <c r="B32">
        <v>31</v>
      </c>
      <c r="C32" t="s">
        <v>122</v>
      </c>
      <c r="D32" t="s">
        <v>124</v>
      </c>
      <c r="E32">
        <v>0</v>
      </c>
      <c r="F32">
        <v>179.1</v>
      </c>
      <c r="G32" t="s">
        <v>111</v>
      </c>
      <c r="H32">
        <v>1</v>
      </c>
      <c r="I32">
        <v>31</v>
      </c>
      <c r="J32">
        <v>31</v>
      </c>
      <c r="K32" t="s">
        <v>154</v>
      </c>
    </row>
    <row r="33" spans="1:11" x14ac:dyDescent="0.3">
      <c r="A33" t="s">
        <v>20</v>
      </c>
      <c r="B33">
        <v>32</v>
      </c>
      <c r="C33" t="s">
        <v>87</v>
      </c>
      <c r="D33" t="s">
        <v>87</v>
      </c>
      <c r="E33">
        <v>2</v>
      </c>
      <c r="F33">
        <v>54.5</v>
      </c>
      <c r="G33" t="s">
        <v>112</v>
      </c>
      <c r="H33">
        <v>0</v>
      </c>
      <c r="I33">
        <v>32</v>
      </c>
    </row>
    <row r="34" spans="1:11" x14ac:dyDescent="0.3">
      <c r="A34" t="s">
        <v>20</v>
      </c>
      <c r="B34">
        <v>33</v>
      </c>
      <c r="C34" t="s">
        <v>123</v>
      </c>
      <c r="D34" t="s">
        <v>123</v>
      </c>
      <c r="E34">
        <v>2</v>
      </c>
      <c r="F34">
        <v>90.5</v>
      </c>
      <c r="G34" t="s">
        <v>112</v>
      </c>
      <c r="H34">
        <v>0</v>
      </c>
      <c r="I34">
        <v>33</v>
      </c>
    </row>
    <row r="35" spans="1:11" x14ac:dyDescent="0.3">
      <c r="A35" t="s">
        <v>20</v>
      </c>
      <c r="B35">
        <v>34</v>
      </c>
      <c r="C35" t="s">
        <v>90</v>
      </c>
      <c r="D35" t="s">
        <v>90</v>
      </c>
      <c r="E35">
        <v>2</v>
      </c>
      <c r="F35">
        <v>118.2</v>
      </c>
      <c r="G35" t="s">
        <v>112</v>
      </c>
      <c r="H35">
        <v>0</v>
      </c>
      <c r="I35">
        <v>34</v>
      </c>
    </row>
    <row r="36" spans="1:11" x14ac:dyDescent="0.3">
      <c r="A36" t="s">
        <v>20</v>
      </c>
      <c r="B36">
        <v>35</v>
      </c>
      <c r="C36" t="s">
        <v>87</v>
      </c>
      <c r="D36" t="s">
        <v>87</v>
      </c>
      <c r="E36">
        <v>2</v>
      </c>
      <c r="F36">
        <v>162.80000000000001</v>
      </c>
      <c r="G36" t="s">
        <v>112</v>
      </c>
      <c r="H36">
        <v>0</v>
      </c>
      <c r="I36">
        <v>35</v>
      </c>
    </row>
    <row r="37" spans="1:11" x14ac:dyDescent="0.3">
      <c r="A37" t="s">
        <v>20</v>
      </c>
      <c r="B37">
        <v>36</v>
      </c>
      <c r="D37" t="s">
        <v>124</v>
      </c>
      <c r="E37">
        <v>0</v>
      </c>
      <c r="F37">
        <v>190.2</v>
      </c>
      <c r="G37" t="s">
        <v>113</v>
      </c>
      <c r="H37">
        <v>1</v>
      </c>
      <c r="I37">
        <v>36</v>
      </c>
      <c r="J37">
        <v>36</v>
      </c>
    </row>
    <row r="38" spans="1:11" x14ac:dyDescent="0.3">
      <c r="A38" t="s">
        <v>20</v>
      </c>
      <c r="B38">
        <v>37</v>
      </c>
      <c r="C38" t="s">
        <v>123</v>
      </c>
      <c r="D38" t="s">
        <v>123</v>
      </c>
      <c r="E38">
        <v>2</v>
      </c>
      <c r="F38">
        <v>100.2</v>
      </c>
      <c r="G38" t="s">
        <v>112</v>
      </c>
      <c r="H38">
        <v>0</v>
      </c>
      <c r="I38">
        <v>37</v>
      </c>
    </row>
    <row r="39" spans="1:11" x14ac:dyDescent="0.3">
      <c r="A39" t="s">
        <v>20</v>
      </c>
      <c r="B39">
        <v>38</v>
      </c>
      <c r="C39" t="s">
        <v>122</v>
      </c>
      <c r="D39" t="s">
        <v>122</v>
      </c>
      <c r="E39">
        <v>2</v>
      </c>
      <c r="F39">
        <v>94.6</v>
      </c>
      <c r="G39" t="s">
        <v>112</v>
      </c>
      <c r="H39">
        <v>0</v>
      </c>
      <c r="I39">
        <v>38</v>
      </c>
    </row>
    <row r="40" spans="1:11" x14ac:dyDescent="0.3">
      <c r="A40" t="s">
        <v>20</v>
      </c>
      <c r="B40">
        <v>39</v>
      </c>
      <c r="C40" t="s">
        <v>124</v>
      </c>
      <c r="D40" t="s">
        <v>124</v>
      </c>
      <c r="E40">
        <v>2</v>
      </c>
      <c r="F40">
        <v>35.1</v>
      </c>
      <c r="G40" t="s">
        <v>112</v>
      </c>
      <c r="H40">
        <v>0</v>
      </c>
      <c r="I40">
        <v>39</v>
      </c>
      <c r="K40" t="s">
        <v>155</v>
      </c>
    </row>
    <row r="41" spans="1:11" x14ac:dyDescent="0.3">
      <c r="A41" t="s">
        <v>20</v>
      </c>
      <c r="B41">
        <v>40</v>
      </c>
      <c r="C41" t="s">
        <v>123</v>
      </c>
      <c r="D41" t="s">
        <v>88</v>
      </c>
      <c r="E41">
        <v>0</v>
      </c>
      <c r="F41">
        <v>726.9</v>
      </c>
      <c r="G41" t="s">
        <v>111</v>
      </c>
      <c r="H41">
        <v>1</v>
      </c>
      <c r="I41">
        <v>40</v>
      </c>
      <c r="J41">
        <v>40</v>
      </c>
      <c r="K41" t="s">
        <v>156</v>
      </c>
    </row>
    <row r="42" spans="1:11" x14ac:dyDescent="0.3">
      <c r="A42" t="s">
        <v>21</v>
      </c>
      <c r="B42">
        <v>41</v>
      </c>
      <c r="C42" t="s">
        <v>28</v>
      </c>
      <c r="D42" t="s">
        <v>28</v>
      </c>
      <c r="E42">
        <v>1</v>
      </c>
      <c r="F42">
        <v>155.30000000000001</v>
      </c>
      <c r="G42" t="s">
        <v>112</v>
      </c>
      <c r="H42">
        <v>0</v>
      </c>
      <c r="I42">
        <v>41</v>
      </c>
    </row>
    <row r="43" spans="1:11" x14ac:dyDescent="0.3">
      <c r="A43" t="s">
        <v>21</v>
      </c>
      <c r="B43">
        <v>42</v>
      </c>
      <c r="C43" t="s">
        <v>84</v>
      </c>
      <c r="D43" t="s">
        <v>137</v>
      </c>
      <c r="E43">
        <v>0</v>
      </c>
      <c r="F43">
        <v>67.5</v>
      </c>
      <c r="G43" t="s">
        <v>113</v>
      </c>
      <c r="H43">
        <v>1</v>
      </c>
      <c r="I43">
        <v>42</v>
      </c>
      <c r="J43">
        <v>42</v>
      </c>
    </row>
    <row r="44" spans="1:11" x14ac:dyDescent="0.3">
      <c r="A44" t="s">
        <v>21</v>
      </c>
      <c r="B44">
        <v>43</v>
      </c>
      <c r="C44" t="s">
        <v>125</v>
      </c>
      <c r="D44" t="s">
        <v>138</v>
      </c>
      <c r="E44">
        <v>0</v>
      </c>
      <c r="F44">
        <v>124.1</v>
      </c>
      <c r="G44" t="s">
        <v>111</v>
      </c>
      <c r="H44">
        <v>1</v>
      </c>
      <c r="I44">
        <v>43</v>
      </c>
      <c r="J44">
        <v>43</v>
      </c>
    </row>
    <row r="45" spans="1:11" x14ac:dyDescent="0.3">
      <c r="A45" t="s">
        <v>21</v>
      </c>
      <c r="B45">
        <v>44</v>
      </c>
      <c r="C45" t="s">
        <v>126</v>
      </c>
      <c r="D45" t="s">
        <v>139</v>
      </c>
      <c r="E45">
        <v>0</v>
      </c>
      <c r="F45">
        <v>191.3</v>
      </c>
      <c r="G45" t="s">
        <v>111</v>
      </c>
      <c r="H45">
        <v>1</v>
      </c>
      <c r="I45">
        <v>44</v>
      </c>
      <c r="J45">
        <v>44</v>
      </c>
    </row>
    <row r="46" spans="1:11" x14ac:dyDescent="0.3">
      <c r="A46" t="s">
        <v>21</v>
      </c>
      <c r="B46">
        <v>45</v>
      </c>
      <c r="C46" t="s">
        <v>45</v>
      </c>
      <c r="D46" t="s">
        <v>69</v>
      </c>
      <c r="E46">
        <v>0</v>
      </c>
      <c r="F46">
        <v>300.8</v>
      </c>
      <c r="G46" t="s">
        <v>111</v>
      </c>
      <c r="H46">
        <v>1</v>
      </c>
      <c r="I46">
        <v>45</v>
      </c>
      <c r="J46">
        <v>45</v>
      </c>
      <c r="K46" t="s">
        <v>157</v>
      </c>
    </row>
    <row r="47" spans="1:11" x14ac:dyDescent="0.3">
      <c r="A47" t="s">
        <v>21</v>
      </c>
      <c r="B47">
        <v>46</v>
      </c>
      <c r="C47" t="s">
        <v>127</v>
      </c>
      <c r="D47" t="s">
        <v>140</v>
      </c>
      <c r="E47">
        <v>1</v>
      </c>
      <c r="F47">
        <v>138.80000000000001</v>
      </c>
      <c r="G47" t="s">
        <v>112</v>
      </c>
      <c r="H47">
        <v>0</v>
      </c>
      <c r="I47">
        <v>46</v>
      </c>
    </row>
    <row r="48" spans="1:11" x14ac:dyDescent="0.3">
      <c r="A48" t="s">
        <v>21</v>
      </c>
      <c r="B48">
        <v>47</v>
      </c>
      <c r="C48" t="s">
        <v>94</v>
      </c>
      <c r="D48" t="s">
        <v>94</v>
      </c>
      <c r="E48">
        <v>1</v>
      </c>
      <c r="F48">
        <v>218.1</v>
      </c>
      <c r="G48" t="s">
        <v>112</v>
      </c>
      <c r="H48">
        <v>0</v>
      </c>
      <c r="I48">
        <v>47</v>
      </c>
    </row>
    <row r="49" spans="1:11" x14ac:dyDescent="0.3">
      <c r="A49" t="s">
        <v>21</v>
      </c>
      <c r="B49">
        <v>48</v>
      </c>
      <c r="C49" t="s">
        <v>25</v>
      </c>
      <c r="D49" t="s">
        <v>141</v>
      </c>
      <c r="E49">
        <v>0</v>
      </c>
      <c r="F49">
        <v>557.1</v>
      </c>
      <c r="G49" t="s">
        <v>111</v>
      </c>
      <c r="H49">
        <v>1</v>
      </c>
      <c r="I49">
        <v>48</v>
      </c>
      <c r="J49">
        <v>48</v>
      </c>
    </row>
    <row r="50" spans="1:11" x14ac:dyDescent="0.3">
      <c r="A50" t="s">
        <v>21</v>
      </c>
      <c r="B50">
        <v>49</v>
      </c>
      <c r="C50" t="s">
        <v>128</v>
      </c>
      <c r="D50" t="s">
        <v>128</v>
      </c>
      <c r="E50">
        <v>1</v>
      </c>
      <c r="F50">
        <v>19.600000000000001</v>
      </c>
      <c r="G50" t="s">
        <v>112</v>
      </c>
      <c r="H50">
        <v>0</v>
      </c>
      <c r="I50">
        <v>49</v>
      </c>
    </row>
    <row r="51" spans="1:11" x14ac:dyDescent="0.3">
      <c r="A51" t="s">
        <v>21</v>
      </c>
      <c r="B51">
        <v>50</v>
      </c>
      <c r="C51" t="s">
        <v>129</v>
      </c>
      <c r="D51" t="s">
        <v>142</v>
      </c>
      <c r="E51">
        <v>1</v>
      </c>
      <c r="F51">
        <v>131</v>
      </c>
      <c r="G51" t="s">
        <v>112</v>
      </c>
      <c r="H51">
        <v>0</v>
      </c>
      <c r="I51">
        <v>50</v>
      </c>
    </row>
    <row r="52" spans="1:11" x14ac:dyDescent="0.3">
      <c r="A52" t="s">
        <v>21</v>
      </c>
      <c r="B52">
        <v>51</v>
      </c>
      <c r="C52" t="s">
        <v>84</v>
      </c>
      <c r="D52" t="s">
        <v>143</v>
      </c>
      <c r="E52">
        <v>0</v>
      </c>
      <c r="F52">
        <v>376.5</v>
      </c>
      <c r="G52" t="s">
        <v>113</v>
      </c>
      <c r="H52">
        <v>1</v>
      </c>
      <c r="I52">
        <v>51</v>
      </c>
      <c r="J52">
        <v>51</v>
      </c>
      <c r="K52" t="s">
        <v>158</v>
      </c>
    </row>
    <row r="53" spans="1:11" x14ac:dyDescent="0.3">
      <c r="A53" t="s">
        <v>21</v>
      </c>
      <c r="B53">
        <v>52</v>
      </c>
      <c r="C53" t="s">
        <v>130</v>
      </c>
      <c r="D53" t="s">
        <v>66</v>
      </c>
      <c r="E53">
        <v>2</v>
      </c>
      <c r="F53">
        <v>207.2</v>
      </c>
      <c r="G53" t="s">
        <v>112</v>
      </c>
      <c r="H53">
        <v>0</v>
      </c>
      <c r="I53">
        <v>52</v>
      </c>
    </row>
    <row r="54" spans="1:11" x14ac:dyDescent="0.3">
      <c r="A54" t="s">
        <v>21</v>
      </c>
      <c r="B54">
        <v>53</v>
      </c>
      <c r="C54" t="s">
        <v>23</v>
      </c>
      <c r="D54" t="s">
        <v>23</v>
      </c>
      <c r="E54">
        <v>2</v>
      </c>
      <c r="F54">
        <v>196.4</v>
      </c>
      <c r="G54" t="s">
        <v>112</v>
      </c>
      <c r="H54">
        <v>0</v>
      </c>
      <c r="I54">
        <v>53</v>
      </c>
      <c r="K54" t="s">
        <v>159</v>
      </c>
    </row>
    <row r="55" spans="1:11" x14ac:dyDescent="0.3">
      <c r="A55" t="s">
        <v>21</v>
      </c>
      <c r="B55">
        <v>54</v>
      </c>
      <c r="C55" t="s">
        <v>131</v>
      </c>
      <c r="D55" t="s">
        <v>144</v>
      </c>
      <c r="E55">
        <v>0</v>
      </c>
      <c r="F55">
        <v>681.4</v>
      </c>
      <c r="G55" t="s">
        <v>111</v>
      </c>
      <c r="H55">
        <v>1</v>
      </c>
      <c r="I55">
        <v>54</v>
      </c>
      <c r="J55">
        <v>54</v>
      </c>
      <c r="K55" t="s">
        <v>160</v>
      </c>
    </row>
    <row r="56" spans="1:11" x14ac:dyDescent="0.3">
      <c r="A56" t="s">
        <v>21</v>
      </c>
      <c r="B56">
        <v>55</v>
      </c>
      <c r="C56" t="s">
        <v>84</v>
      </c>
      <c r="D56" t="s">
        <v>136</v>
      </c>
      <c r="E56">
        <v>2</v>
      </c>
      <c r="F56">
        <v>40.4</v>
      </c>
      <c r="G56" t="s">
        <v>113</v>
      </c>
      <c r="H56">
        <v>1</v>
      </c>
      <c r="I56">
        <v>55</v>
      </c>
      <c r="J56">
        <v>55</v>
      </c>
    </row>
    <row r="57" spans="1:11" x14ac:dyDescent="0.3">
      <c r="A57" t="s">
        <v>21</v>
      </c>
      <c r="B57">
        <v>56</v>
      </c>
      <c r="C57" t="s">
        <v>132</v>
      </c>
      <c r="D57" t="s">
        <v>132</v>
      </c>
      <c r="E57">
        <v>2</v>
      </c>
      <c r="F57">
        <v>6.8</v>
      </c>
      <c r="G57" t="s">
        <v>112</v>
      </c>
      <c r="H57">
        <v>0</v>
      </c>
      <c r="I57">
        <v>56</v>
      </c>
    </row>
    <row r="58" spans="1:11" x14ac:dyDescent="0.3">
      <c r="A58" t="s">
        <v>21</v>
      </c>
      <c r="B58">
        <v>57</v>
      </c>
      <c r="C58" t="s">
        <v>133</v>
      </c>
      <c r="D58" t="s">
        <v>145</v>
      </c>
      <c r="E58">
        <v>0</v>
      </c>
      <c r="F58">
        <v>284.3</v>
      </c>
      <c r="G58" t="s">
        <v>111</v>
      </c>
      <c r="H58">
        <v>1</v>
      </c>
      <c r="I58">
        <v>57</v>
      </c>
      <c r="J58">
        <v>57</v>
      </c>
    </row>
    <row r="59" spans="1:11" x14ac:dyDescent="0.3">
      <c r="A59" t="s">
        <v>21</v>
      </c>
      <c r="B59">
        <v>58</v>
      </c>
      <c r="C59" t="s">
        <v>84</v>
      </c>
      <c r="D59" t="s">
        <v>35</v>
      </c>
      <c r="E59">
        <v>0</v>
      </c>
      <c r="F59">
        <v>19.7</v>
      </c>
      <c r="G59" t="s">
        <v>113</v>
      </c>
      <c r="H59">
        <v>1</v>
      </c>
      <c r="I59">
        <v>58</v>
      </c>
      <c r="J59">
        <v>58</v>
      </c>
    </row>
    <row r="60" spans="1:11" x14ac:dyDescent="0.3">
      <c r="A60" t="s">
        <v>21</v>
      </c>
      <c r="B60">
        <v>59</v>
      </c>
      <c r="C60" t="s">
        <v>134</v>
      </c>
      <c r="D60" t="s">
        <v>146</v>
      </c>
      <c r="E60">
        <v>0</v>
      </c>
      <c r="F60">
        <v>457</v>
      </c>
      <c r="G60" t="s">
        <v>111</v>
      </c>
      <c r="H60">
        <v>1</v>
      </c>
      <c r="I60">
        <v>59</v>
      </c>
      <c r="J60">
        <v>59</v>
      </c>
      <c r="K60" t="s">
        <v>161</v>
      </c>
    </row>
    <row r="61" spans="1:11" x14ac:dyDescent="0.3">
      <c r="A61" t="s">
        <v>21</v>
      </c>
      <c r="B61">
        <v>60</v>
      </c>
      <c r="C61" t="s">
        <v>135</v>
      </c>
      <c r="D61" t="s">
        <v>147</v>
      </c>
      <c r="E61">
        <v>0</v>
      </c>
      <c r="F61">
        <v>486.4</v>
      </c>
      <c r="G61" t="s">
        <v>111</v>
      </c>
      <c r="H61">
        <v>1</v>
      </c>
      <c r="I61">
        <v>60</v>
      </c>
      <c r="J61">
        <v>60</v>
      </c>
    </row>
    <row r="62" spans="1:11" x14ac:dyDescent="0.3">
      <c r="E62">
        <v>69.666666669999998</v>
      </c>
      <c r="H62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2"/>
  <sheetViews>
    <sheetView workbookViewId="0"/>
  </sheetViews>
  <sheetFormatPr defaultRowHeight="14.4" x14ac:dyDescent="0.3"/>
  <sheetData>
    <row r="1" spans="1:11" x14ac:dyDescent="0.3">
      <c r="A1" s="2" t="s">
        <v>8</v>
      </c>
      <c r="B1" s="2" t="s">
        <v>9</v>
      </c>
      <c r="C1" s="2" t="s">
        <v>10</v>
      </c>
      <c r="D1" s="2" t="s">
        <v>120</v>
      </c>
      <c r="E1" s="2" t="s">
        <v>12</v>
      </c>
      <c r="F1" s="2" t="s">
        <v>14</v>
      </c>
      <c r="G1" s="2" t="s">
        <v>121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 x14ac:dyDescent="0.3">
      <c r="A2" t="s">
        <v>19</v>
      </c>
      <c r="B2">
        <v>1</v>
      </c>
      <c r="C2" t="s">
        <v>19</v>
      </c>
      <c r="D2" t="s">
        <v>19</v>
      </c>
      <c r="E2">
        <v>1</v>
      </c>
      <c r="F2">
        <v>28.3</v>
      </c>
      <c r="G2" t="s">
        <v>112</v>
      </c>
      <c r="H2">
        <v>0</v>
      </c>
      <c r="I2">
        <v>1</v>
      </c>
    </row>
    <row r="3" spans="1:11" x14ac:dyDescent="0.3">
      <c r="A3" t="s">
        <v>19</v>
      </c>
      <c r="B3">
        <v>2</v>
      </c>
      <c r="C3" t="s">
        <v>21</v>
      </c>
      <c r="D3" t="s">
        <v>21</v>
      </c>
      <c r="E3">
        <v>1</v>
      </c>
      <c r="F3">
        <v>112.5</v>
      </c>
      <c r="G3" t="s">
        <v>112</v>
      </c>
      <c r="H3">
        <v>0</v>
      </c>
      <c r="I3">
        <v>2</v>
      </c>
    </row>
    <row r="4" spans="1:11" x14ac:dyDescent="0.3">
      <c r="A4" t="s">
        <v>19</v>
      </c>
      <c r="B4">
        <v>3</v>
      </c>
      <c r="C4" t="s">
        <v>19</v>
      </c>
      <c r="D4" t="s">
        <v>19</v>
      </c>
      <c r="E4">
        <v>1</v>
      </c>
      <c r="F4">
        <v>161.5</v>
      </c>
      <c r="G4" t="s">
        <v>112</v>
      </c>
      <c r="H4">
        <v>0</v>
      </c>
      <c r="I4">
        <v>3</v>
      </c>
    </row>
    <row r="5" spans="1:11" x14ac:dyDescent="0.3">
      <c r="A5" t="s">
        <v>19</v>
      </c>
      <c r="B5">
        <v>4</v>
      </c>
      <c r="C5" t="s">
        <v>83</v>
      </c>
      <c r="D5" t="s">
        <v>83</v>
      </c>
      <c r="E5">
        <v>1</v>
      </c>
      <c r="F5">
        <v>48.7</v>
      </c>
      <c r="G5" t="s">
        <v>112</v>
      </c>
      <c r="H5">
        <v>0</v>
      </c>
      <c r="I5">
        <v>4</v>
      </c>
    </row>
    <row r="6" spans="1:11" x14ac:dyDescent="0.3">
      <c r="A6" t="s">
        <v>19</v>
      </c>
      <c r="B6">
        <v>5</v>
      </c>
      <c r="C6" t="s">
        <v>83</v>
      </c>
      <c r="D6" t="s">
        <v>83</v>
      </c>
      <c r="E6">
        <v>1</v>
      </c>
      <c r="F6">
        <v>215</v>
      </c>
      <c r="G6" t="s">
        <v>112</v>
      </c>
      <c r="H6">
        <v>0</v>
      </c>
      <c r="I6">
        <v>5</v>
      </c>
    </row>
    <row r="7" spans="1:11" x14ac:dyDescent="0.3">
      <c r="A7" t="s">
        <v>19</v>
      </c>
      <c r="B7">
        <v>6</v>
      </c>
      <c r="C7" t="s">
        <v>20</v>
      </c>
      <c r="D7" t="s">
        <v>20</v>
      </c>
      <c r="E7">
        <v>1</v>
      </c>
      <c r="F7">
        <v>13.5</v>
      </c>
      <c r="G7" t="s">
        <v>112</v>
      </c>
      <c r="H7">
        <v>0</v>
      </c>
      <c r="I7">
        <v>6</v>
      </c>
    </row>
    <row r="8" spans="1:11" x14ac:dyDescent="0.3">
      <c r="A8" t="s">
        <v>19</v>
      </c>
      <c r="B8">
        <v>7</v>
      </c>
      <c r="C8" t="s">
        <v>20</v>
      </c>
      <c r="D8" t="s">
        <v>20</v>
      </c>
      <c r="E8">
        <v>1</v>
      </c>
      <c r="F8">
        <v>37.4</v>
      </c>
      <c r="G8" t="s">
        <v>112</v>
      </c>
      <c r="H8">
        <v>0</v>
      </c>
      <c r="I8">
        <v>7</v>
      </c>
    </row>
    <row r="9" spans="1:11" x14ac:dyDescent="0.3">
      <c r="A9" t="s">
        <v>19</v>
      </c>
      <c r="B9">
        <v>8</v>
      </c>
      <c r="C9" t="s">
        <v>20</v>
      </c>
      <c r="D9" t="s">
        <v>20</v>
      </c>
      <c r="E9">
        <v>1</v>
      </c>
      <c r="F9">
        <v>40.1</v>
      </c>
      <c r="G9" t="s">
        <v>112</v>
      </c>
      <c r="H9">
        <v>0</v>
      </c>
      <c r="I9">
        <v>8</v>
      </c>
    </row>
    <row r="10" spans="1:11" x14ac:dyDescent="0.3">
      <c r="A10" t="s">
        <v>19</v>
      </c>
      <c r="B10">
        <v>9</v>
      </c>
      <c r="C10" t="s">
        <v>20</v>
      </c>
      <c r="D10" t="s">
        <v>20</v>
      </c>
      <c r="E10">
        <v>1</v>
      </c>
      <c r="F10">
        <v>113.7</v>
      </c>
      <c r="G10" t="s">
        <v>112</v>
      </c>
      <c r="H10">
        <v>0</v>
      </c>
      <c r="I10">
        <v>9</v>
      </c>
    </row>
    <row r="11" spans="1:11" x14ac:dyDescent="0.3">
      <c r="A11" t="s">
        <v>19</v>
      </c>
      <c r="B11">
        <v>10</v>
      </c>
      <c r="C11" t="s">
        <v>19</v>
      </c>
      <c r="D11" t="s">
        <v>19</v>
      </c>
      <c r="E11">
        <v>1</v>
      </c>
      <c r="F11">
        <v>25.7</v>
      </c>
      <c r="G11" t="s">
        <v>112</v>
      </c>
      <c r="H11">
        <v>0</v>
      </c>
      <c r="I11">
        <v>10</v>
      </c>
    </row>
    <row r="12" spans="1:11" x14ac:dyDescent="0.3">
      <c r="A12" t="s">
        <v>19</v>
      </c>
      <c r="B12">
        <v>11</v>
      </c>
      <c r="C12" t="s">
        <v>21</v>
      </c>
      <c r="D12" t="s">
        <v>21</v>
      </c>
      <c r="E12">
        <v>2</v>
      </c>
      <c r="F12">
        <v>194.3</v>
      </c>
      <c r="G12" t="s">
        <v>112</v>
      </c>
      <c r="H12">
        <v>0</v>
      </c>
      <c r="I12">
        <v>11</v>
      </c>
    </row>
    <row r="13" spans="1:11" x14ac:dyDescent="0.3">
      <c r="A13" t="s">
        <v>19</v>
      </c>
      <c r="B13">
        <v>12</v>
      </c>
      <c r="C13" t="s">
        <v>19</v>
      </c>
      <c r="D13" t="s">
        <v>19</v>
      </c>
      <c r="E13">
        <v>2</v>
      </c>
      <c r="F13">
        <v>70.5</v>
      </c>
      <c r="G13" t="s">
        <v>112</v>
      </c>
      <c r="H13">
        <v>0</v>
      </c>
      <c r="I13">
        <v>12</v>
      </c>
    </row>
    <row r="14" spans="1:11" x14ac:dyDescent="0.3">
      <c r="A14" t="s">
        <v>19</v>
      </c>
      <c r="B14">
        <v>13</v>
      </c>
      <c r="C14" t="s">
        <v>20</v>
      </c>
      <c r="D14" t="s">
        <v>21</v>
      </c>
      <c r="E14">
        <v>-0.66666666699999999</v>
      </c>
      <c r="F14">
        <v>323.60000000000002</v>
      </c>
      <c r="G14" t="s">
        <v>111</v>
      </c>
      <c r="H14">
        <v>1</v>
      </c>
      <c r="I14">
        <v>13</v>
      </c>
    </row>
    <row r="15" spans="1:11" x14ac:dyDescent="0.3">
      <c r="A15" t="s">
        <v>19</v>
      </c>
      <c r="B15">
        <v>14</v>
      </c>
      <c r="C15" t="s">
        <v>20</v>
      </c>
      <c r="D15" t="s">
        <v>19</v>
      </c>
      <c r="E15">
        <v>-0.66666666699999999</v>
      </c>
      <c r="F15">
        <v>742.8</v>
      </c>
      <c r="G15" t="s">
        <v>111</v>
      </c>
      <c r="H15">
        <v>1</v>
      </c>
      <c r="I15">
        <v>14</v>
      </c>
    </row>
    <row r="16" spans="1:11" x14ac:dyDescent="0.3">
      <c r="A16" t="s">
        <v>19</v>
      </c>
      <c r="B16">
        <v>15</v>
      </c>
      <c r="C16" t="s">
        <v>21</v>
      </c>
      <c r="D16" t="s">
        <v>21</v>
      </c>
      <c r="E16">
        <v>2</v>
      </c>
      <c r="F16">
        <v>33.799999999999997</v>
      </c>
      <c r="G16" t="s">
        <v>112</v>
      </c>
      <c r="H16">
        <v>0</v>
      </c>
      <c r="I16">
        <v>15</v>
      </c>
    </row>
    <row r="17" spans="1:10" x14ac:dyDescent="0.3">
      <c r="A17" t="s">
        <v>19</v>
      </c>
      <c r="B17">
        <v>16</v>
      </c>
      <c r="C17" t="s">
        <v>19</v>
      </c>
      <c r="D17" t="s">
        <v>19</v>
      </c>
      <c r="E17">
        <v>2</v>
      </c>
      <c r="F17">
        <v>135.30000000000001</v>
      </c>
      <c r="G17" t="s">
        <v>112</v>
      </c>
      <c r="H17">
        <v>0</v>
      </c>
      <c r="I17">
        <v>16</v>
      </c>
    </row>
    <row r="18" spans="1:10" x14ac:dyDescent="0.3">
      <c r="A18" t="s">
        <v>19</v>
      </c>
      <c r="B18">
        <v>17</v>
      </c>
      <c r="C18" t="s">
        <v>21</v>
      </c>
      <c r="D18" t="s">
        <v>21</v>
      </c>
      <c r="E18">
        <v>2</v>
      </c>
      <c r="F18">
        <v>231.2</v>
      </c>
      <c r="G18" t="s">
        <v>112</v>
      </c>
      <c r="H18">
        <v>0</v>
      </c>
      <c r="I18">
        <v>17</v>
      </c>
    </row>
    <row r="19" spans="1:10" x14ac:dyDescent="0.3">
      <c r="A19" t="s">
        <v>19</v>
      </c>
      <c r="B19">
        <v>18</v>
      </c>
      <c r="C19" t="s">
        <v>21</v>
      </c>
      <c r="D19" t="s">
        <v>21</v>
      </c>
      <c r="E19">
        <v>2</v>
      </c>
      <c r="F19">
        <v>288</v>
      </c>
      <c r="G19" t="s">
        <v>112</v>
      </c>
      <c r="H19">
        <v>0</v>
      </c>
      <c r="I19">
        <v>18</v>
      </c>
    </row>
    <row r="20" spans="1:10" x14ac:dyDescent="0.3">
      <c r="A20" t="s">
        <v>19</v>
      </c>
      <c r="B20">
        <v>19</v>
      </c>
      <c r="C20" t="s">
        <v>83</v>
      </c>
      <c r="D20" t="s">
        <v>83</v>
      </c>
      <c r="E20">
        <v>2</v>
      </c>
      <c r="F20">
        <v>49.5</v>
      </c>
      <c r="G20" t="s">
        <v>112</v>
      </c>
      <c r="H20">
        <v>0</v>
      </c>
      <c r="I20">
        <v>19</v>
      </c>
    </row>
    <row r="21" spans="1:10" x14ac:dyDescent="0.3">
      <c r="A21" t="s">
        <v>19</v>
      </c>
      <c r="B21">
        <v>20</v>
      </c>
      <c r="C21" t="s">
        <v>21</v>
      </c>
      <c r="D21" t="s">
        <v>20</v>
      </c>
      <c r="E21">
        <v>-0.66666666699999999</v>
      </c>
      <c r="F21">
        <v>78.2</v>
      </c>
      <c r="G21" t="s">
        <v>111</v>
      </c>
      <c r="H21">
        <v>1</v>
      </c>
      <c r="I21">
        <v>20</v>
      </c>
      <c r="J21">
        <v>20</v>
      </c>
    </row>
    <row r="22" spans="1:10" x14ac:dyDescent="0.3">
      <c r="A22" t="s">
        <v>19</v>
      </c>
      <c r="B22">
        <v>21</v>
      </c>
      <c r="C22" t="s">
        <v>20</v>
      </c>
      <c r="D22" t="s">
        <v>20</v>
      </c>
      <c r="E22">
        <v>2</v>
      </c>
      <c r="F22">
        <v>154.19999999999999</v>
      </c>
      <c r="G22" t="s">
        <v>112</v>
      </c>
      <c r="H22">
        <v>0</v>
      </c>
      <c r="I22">
        <v>21</v>
      </c>
    </row>
    <row r="23" spans="1:10" x14ac:dyDescent="0.3">
      <c r="A23" t="s">
        <v>19</v>
      </c>
      <c r="B23">
        <v>22</v>
      </c>
      <c r="C23" t="s">
        <v>83</v>
      </c>
      <c r="D23" t="s">
        <v>83</v>
      </c>
      <c r="E23">
        <v>2</v>
      </c>
      <c r="F23">
        <v>23.6</v>
      </c>
      <c r="G23" t="s">
        <v>112</v>
      </c>
      <c r="H23">
        <v>0</v>
      </c>
      <c r="I23">
        <v>22</v>
      </c>
    </row>
    <row r="24" spans="1:10" x14ac:dyDescent="0.3">
      <c r="A24" t="s">
        <v>19</v>
      </c>
      <c r="B24">
        <v>23</v>
      </c>
      <c r="C24" t="s">
        <v>20</v>
      </c>
      <c r="D24" t="s">
        <v>20</v>
      </c>
      <c r="E24">
        <v>2</v>
      </c>
      <c r="F24">
        <v>92.4</v>
      </c>
      <c r="G24" t="s">
        <v>112</v>
      </c>
      <c r="H24">
        <v>0</v>
      </c>
      <c r="I24">
        <v>23</v>
      </c>
    </row>
    <row r="25" spans="1:10" x14ac:dyDescent="0.3">
      <c r="A25" t="s">
        <v>19</v>
      </c>
      <c r="B25">
        <v>24</v>
      </c>
      <c r="C25" t="s">
        <v>83</v>
      </c>
      <c r="D25" t="s">
        <v>20</v>
      </c>
      <c r="E25">
        <v>-0.66666666699999999</v>
      </c>
      <c r="F25">
        <v>90.5</v>
      </c>
      <c r="G25" t="s">
        <v>111</v>
      </c>
      <c r="H25">
        <v>1</v>
      </c>
      <c r="I25">
        <v>24</v>
      </c>
      <c r="J25">
        <v>24</v>
      </c>
    </row>
    <row r="26" spans="1:10" x14ac:dyDescent="0.3">
      <c r="A26" t="s">
        <v>19</v>
      </c>
      <c r="B26">
        <v>25</v>
      </c>
      <c r="C26" t="s">
        <v>21</v>
      </c>
      <c r="D26" t="s">
        <v>21</v>
      </c>
      <c r="E26">
        <v>2</v>
      </c>
      <c r="F26">
        <v>111</v>
      </c>
      <c r="G26" t="s">
        <v>112</v>
      </c>
      <c r="H26">
        <v>0</v>
      </c>
      <c r="I26">
        <v>25</v>
      </c>
    </row>
    <row r="27" spans="1:10" x14ac:dyDescent="0.3">
      <c r="A27" t="s">
        <v>19</v>
      </c>
      <c r="B27">
        <v>26</v>
      </c>
      <c r="C27" t="s">
        <v>20</v>
      </c>
      <c r="D27" t="s">
        <v>20</v>
      </c>
      <c r="E27">
        <v>2</v>
      </c>
      <c r="F27">
        <v>79.099999999999994</v>
      </c>
      <c r="G27" t="s">
        <v>112</v>
      </c>
      <c r="H27">
        <v>0</v>
      </c>
      <c r="I27">
        <v>26</v>
      </c>
    </row>
    <row r="28" spans="1:10" x14ac:dyDescent="0.3">
      <c r="A28" t="s">
        <v>19</v>
      </c>
      <c r="B28">
        <v>27</v>
      </c>
      <c r="C28" t="s">
        <v>20</v>
      </c>
      <c r="D28" t="s">
        <v>20</v>
      </c>
      <c r="E28">
        <v>2</v>
      </c>
      <c r="F28">
        <v>214.7</v>
      </c>
      <c r="G28" t="s">
        <v>112</v>
      </c>
      <c r="H28">
        <v>0</v>
      </c>
      <c r="I28">
        <v>27</v>
      </c>
    </row>
    <row r="29" spans="1:10" x14ac:dyDescent="0.3">
      <c r="A29" t="s">
        <v>19</v>
      </c>
      <c r="B29">
        <v>28</v>
      </c>
      <c r="C29" t="s">
        <v>19</v>
      </c>
      <c r="D29" t="s">
        <v>19</v>
      </c>
      <c r="E29">
        <v>2</v>
      </c>
      <c r="F29">
        <v>119.6</v>
      </c>
      <c r="G29" t="s">
        <v>112</v>
      </c>
      <c r="H29">
        <v>0</v>
      </c>
      <c r="I29">
        <v>28</v>
      </c>
    </row>
    <row r="30" spans="1:10" x14ac:dyDescent="0.3">
      <c r="A30" t="s">
        <v>19</v>
      </c>
      <c r="B30">
        <v>29</v>
      </c>
      <c r="C30" t="s">
        <v>21</v>
      </c>
      <c r="D30" t="s">
        <v>21</v>
      </c>
      <c r="E30">
        <v>2</v>
      </c>
      <c r="F30">
        <v>421.9</v>
      </c>
      <c r="G30" t="s">
        <v>112</v>
      </c>
      <c r="H30">
        <v>0</v>
      </c>
      <c r="I30">
        <v>29</v>
      </c>
    </row>
    <row r="31" spans="1:10" x14ac:dyDescent="0.3">
      <c r="A31" t="s">
        <v>19</v>
      </c>
      <c r="B31">
        <v>30</v>
      </c>
      <c r="C31" t="s">
        <v>21</v>
      </c>
      <c r="D31" t="s">
        <v>21</v>
      </c>
      <c r="E31">
        <v>2</v>
      </c>
      <c r="F31">
        <v>152</v>
      </c>
      <c r="G31" t="s">
        <v>112</v>
      </c>
      <c r="H31">
        <v>0</v>
      </c>
      <c r="I31">
        <v>30</v>
      </c>
    </row>
    <row r="32" spans="1:10" x14ac:dyDescent="0.3">
      <c r="A32" t="s">
        <v>20</v>
      </c>
      <c r="B32">
        <v>31</v>
      </c>
      <c r="C32" t="s">
        <v>162</v>
      </c>
      <c r="D32" t="s">
        <v>162</v>
      </c>
      <c r="E32">
        <v>2</v>
      </c>
      <c r="F32">
        <v>191</v>
      </c>
      <c r="G32" t="s">
        <v>112</v>
      </c>
      <c r="H32">
        <v>0</v>
      </c>
      <c r="I32">
        <v>31</v>
      </c>
    </row>
    <row r="33" spans="1:11" x14ac:dyDescent="0.3">
      <c r="A33" t="s">
        <v>20</v>
      </c>
      <c r="B33">
        <v>32</v>
      </c>
      <c r="C33" t="s">
        <v>87</v>
      </c>
      <c r="D33" t="s">
        <v>20</v>
      </c>
      <c r="E33">
        <v>0</v>
      </c>
      <c r="F33">
        <v>221.5</v>
      </c>
      <c r="G33" t="s">
        <v>111</v>
      </c>
      <c r="H33">
        <v>1</v>
      </c>
      <c r="I33">
        <v>32</v>
      </c>
    </row>
    <row r="34" spans="1:11" x14ac:dyDescent="0.3">
      <c r="A34" t="s">
        <v>20</v>
      </c>
      <c r="B34">
        <v>33</v>
      </c>
      <c r="C34" t="s">
        <v>89</v>
      </c>
      <c r="D34" t="s">
        <v>89</v>
      </c>
      <c r="E34">
        <v>2</v>
      </c>
      <c r="F34">
        <v>28.6</v>
      </c>
      <c r="G34" t="s">
        <v>112</v>
      </c>
      <c r="H34">
        <v>0</v>
      </c>
      <c r="I34">
        <v>33</v>
      </c>
    </row>
    <row r="35" spans="1:11" x14ac:dyDescent="0.3">
      <c r="A35" t="s">
        <v>20</v>
      </c>
      <c r="B35">
        <v>34</v>
      </c>
      <c r="C35" t="s">
        <v>83</v>
      </c>
      <c r="D35" t="s">
        <v>123</v>
      </c>
      <c r="E35">
        <v>0</v>
      </c>
      <c r="F35">
        <v>250.5</v>
      </c>
      <c r="G35" t="s">
        <v>111</v>
      </c>
      <c r="H35">
        <v>1</v>
      </c>
      <c r="I35">
        <v>34</v>
      </c>
    </row>
    <row r="36" spans="1:11" x14ac:dyDescent="0.3">
      <c r="A36" t="s">
        <v>20</v>
      </c>
      <c r="B36">
        <v>35</v>
      </c>
      <c r="C36" t="s">
        <v>122</v>
      </c>
      <c r="D36" t="s">
        <v>88</v>
      </c>
      <c r="E36">
        <v>0</v>
      </c>
      <c r="F36">
        <v>229.3</v>
      </c>
      <c r="G36" t="s">
        <v>111</v>
      </c>
      <c r="H36">
        <v>1</v>
      </c>
      <c r="I36">
        <v>35</v>
      </c>
      <c r="J36">
        <v>35</v>
      </c>
    </row>
    <row r="37" spans="1:11" x14ac:dyDescent="0.3">
      <c r="A37" t="s">
        <v>20</v>
      </c>
      <c r="B37">
        <v>36</v>
      </c>
      <c r="C37" t="s">
        <v>85</v>
      </c>
      <c r="D37" t="s">
        <v>85</v>
      </c>
      <c r="E37">
        <v>2</v>
      </c>
      <c r="F37">
        <v>172.6</v>
      </c>
      <c r="G37" t="s">
        <v>112</v>
      </c>
      <c r="H37">
        <v>0</v>
      </c>
      <c r="I37">
        <v>36</v>
      </c>
    </row>
    <row r="38" spans="1:11" x14ac:dyDescent="0.3">
      <c r="A38" t="s">
        <v>20</v>
      </c>
      <c r="B38">
        <v>37</v>
      </c>
      <c r="C38" t="s">
        <v>86</v>
      </c>
      <c r="D38" t="s">
        <v>122</v>
      </c>
      <c r="E38">
        <v>0</v>
      </c>
      <c r="F38">
        <v>285.5</v>
      </c>
      <c r="G38" t="s">
        <v>111</v>
      </c>
      <c r="H38">
        <v>1</v>
      </c>
      <c r="I38">
        <v>37</v>
      </c>
      <c r="J38">
        <v>37</v>
      </c>
      <c r="K38" t="s">
        <v>187</v>
      </c>
    </row>
    <row r="39" spans="1:11" x14ac:dyDescent="0.3">
      <c r="A39" t="s">
        <v>20</v>
      </c>
      <c r="B39">
        <v>38</v>
      </c>
      <c r="C39" t="s">
        <v>89</v>
      </c>
      <c r="D39" t="s">
        <v>87</v>
      </c>
      <c r="E39">
        <v>0</v>
      </c>
      <c r="F39">
        <v>166.6</v>
      </c>
      <c r="G39" t="s">
        <v>111</v>
      </c>
      <c r="H39">
        <v>1</v>
      </c>
      <c r="I39">
        <v>38</v>
      </c>
      <c r="J39">
        <v>38</v>
      </c>
    </row>
    <row r="40" spans="1:11" x14ac:dyDescent="0.3">
      <c r="A40" t="s">
        <v>20</v>
      </c>
      <c r="B40">
        <v>39</v>
      </c>
      <c r="C40" t="s">
        <v>21</v>
      </c>
      <c r="D40" t="s">
        <v>88</v>
      </c>
      <c r="E40">
        <v>0</v>
      </c>
      <c r="F40">
        <v>67.5</v>
      </c>
      <c r="G40" t="s">
        <v>111</v>
      </c>
      <c r="H40">
        <v>1</v>
      </c>
      <c r="I40">
        <v>39</v>
      </c>
      <c r="J40">
        <v>39</v>
      </c>
    </row>
    <row r="41" spans="1:11" x14ac:dyDescent="0.3">
      <c r="A41" t="s">
        <v>20</v>
      </c>
      <c r="B41">
        <v>40</v>
      </c>
      <c r="C41" t="s">
        <v>90</v>
      </c>
      <c r="D41" t="s">
        <v>20</v>
      </c>
      <c r="E41">
        <v>0</v>
      </c>
      <c r="F41">
        <v>79.400000000000006</v>
      </c>
      <c r="G41" t="s">
        <v>111</v>
      </c>
      <c r="H41">
        <v>1</v>
      </c>
      <c r="I41">
        <v>40</v>
      </c>
      <c r="J41">
        <v>40</v>
      </c>
    </row>
    <row r="42" spans="1:11" x14ac:dyDescent="0.3">
      <c r="A42" t="s">
        <v>21</v>
      </c>
      <c r="B42">
        <v>41</v>
      </c>
      <c r="C42" t="s">
        <v>163</v>
      </c>
      <c r="D42" t="s">
        <v>174</v>
      </c>
      <c r="E42">
        <v>0</v>
      </c>
      <c r="F42">
        <v>159.4</v>
      </c>
      <c r="G42" t="s">
        <v>111</v>
      </c>
      <c r="H42">
        <v>1</v>
      </c>
      <c r="I42">
        <v>41</v>
      </c>
      <c r="J42">
        <v>41</v>
      </c>
      <c r="K42" t="s">
        <v>188</v>
      </c>
    </row>
    <row r="43" spans="1:11" x14ac:dyDescent="0.3">
      <c r="A43" t="s">
        <v>21</v>
      </c>
      <c r="B43">
        <v>42</v>
      </c>
      <c r="C43" t="s">
        <v>84</v>
      </c>
      <c r="D43" t="s">
        <v>175</v>
      </c>
      <c r="E43">
        <v>0</v>
      </c>
      <c r="F43">
        <v>669</v>
      </c>
      <c r="G43" t="s">
        <v>113</v>
      </c>
      <c r="H43">
        <v>1</v>
      </c>
      <c r="I43">
        <v>42</v>
      </c>
      <c r="J43">
        <v>42</v>
      </c>
    </row>
    <row r="44" spans="1:11" x14ac:dyDescent="0.3">
      <c r="A44" t="s">
        <v>21</v>
      </c>
      <c r="B44">
        <v>43</v>
      </c>
      <c r="C44" t="s">
        <v>164</v>
      </c>
      <c r="D44" t="s">
        <v>164</v>
      </c>
      <c r="E44">
        <v>1</v>
      </c>
      <c r="F44">
        <v>164.5</v>
      </c>
      <c r="G44" t="s">
        <v>112</v>
      </c>
      <c r="H44">
        <v>0</v>
      </c>
      <c r="I44">
        <v>43</v>
      </c>
    </row>
    <row r="45" spans="1:11" x14ac:dyDescent="0.3">
      <c r="A45" t="s">
        <v>21</v>
      </c>
      <c r="B45">
        <v>44</v>
      </c>
      <c r="C45" t="s">
        <v>165</v>
      </c>
      <c r="D45" t="s">
        <v>176</v>
      </c>
      <c r="E45">
        <v>0</v>
      </c>
      <c r="F45">
        <v>556.4</v>
      </c>
      <c r="G45" t="s">
        <v>111</v>
      </c>
      <c r="H45">
        <v>1</v>
      </c>
      <c r="I45">
        <v>44</v>
      </c>
      <c r="J45">
        <v>44</v>
      </c>
      <c r="K45" t="s">
        <v>188</v>
      </c>
    </row>
    <row r="46" spans="1:11" x14ac:dyDescent="0.3">
      <c r="A46" t="s">
        <v>21</v>
      </c>
      <c r="B46">
        <v>45</v>
      </c>
      <c r="C46" t="s">
        <v>33</v>
      </c>
      <c r="D46" t="s">
        <v>33</v>
      </c>
      <c r="E46">
        <v>1</v>
      </c>
      <c r="F46">
        <v>89.8</v>
      </c>
      <c r="G46" t="s">
        <v>112</v>
      </c>
      <c r="H46">
        <v>0</v>
      </c>
      <c r="I46">
        <v>45</v>
      </c>
    </row>
    <row r="47" spans="1:11" x14ac:dyDescent="0.3">
      <c r="A47" t="s">
        <v>21</v>
      </c>
      <c r="B47">
        <v>46</v>
      </c>
      <c r="C47" t="s">
        <v>22</v>
      </c>
      <c r="D47" t="s">
        <v>177</v>
      </c>
      <c r="E47">
        <v>0</v>
      </c>
      <c r="F47">
        <v>184.4</v>
      </c>
      <c r="G47" t="s">
        <v>111</v>
      </c>
      <c r="H47">
        <v>1</v>
      </c>
      <c r="I47">
        <v>46</v>
      </c>
      <c r="J47">
        <v>46</v>
      </c>
      <c r="K47" t="s">
        <v>188</v>
      </c>
    </row>
    <row r="48" spans="1:11" x14ac:dyDescent="0.3">
      <c r="A48" t="s">
        <v>21</v>
      </c>
      <c r="B48">
        <v>47</v>
      </c>
      <c r="C48" t="s">
        <v>166</v>
      </c>
      <c r="D48" t="s">
        <v>166</v>
      </c>
      <c r="E48">
        <v>1</v>
      </c>
      <c r="F48">
        <v>102.1</v>
      </c>
      <c r="G48" t="s">
        <v>112</v>
      </c>
      <c r="H48">
        <v>0</v>
      </c>
      <c r="I48">
        <v>47</v>
      </c>
    </row>
    <row r="49" spans="1:11" x14ac:dyDescent="0.3">
      <c r="A49" t="s">
        <v>21</v>
      </c>
      <c r="B49">
        <v>48</v>
      </c>
      <c r="C49" t="s">
        <v>167</v>
      </c>
      <c r="D49" t="s">
        <v>167</v>
      </c>
      <c r="E49">
        <v>1</v>
      </c>
      <c r="F49">
        <v>352.4</v>
      </c>
      <c r="G49" t="s">
        <v>112</v>
      </c>
      <c r="H49">
        <v>0</v>
      </c>
      <c r="I49">
        <v>48</v>
      </c>
    </row>
    <row r="50" spans="1:11" x14ac:dyDescent="0.3">
      <c r="A50" t="s">
        <v>21</v>
      </c>
      <c r="B50">
        <v>49</v>
      </c>
      <c r="C50" t="s">
        <v>168</v>
      </c>
      <c r="D50" t="s">
        <v>178</v>
      </c>
      <c r="E50">
        <v>1</v>
      </c>
      <c r="F50">
        <v>407.8</v>
      </c>
      <c r="G50" t="s">
        <v>112</v>
      </c>
      <c r="H50">
        <v>0</v>
      </c>
      <c r="I50">
        <v>49</v>
      </c>
    </row>
    <row r="51" spans="1:11" x14ac:dyDescent="0.3">
      <c r="A51" t="s">
        <v>21</v>
      </c>
      <c r="B51">
        <v>50</v>
      </c>
      <c r="C51" t="s">
        <v>169</v>
      </c>
      <c r="D51" t="s">
        <v>179</v>
      </c>
      <c r="E51">
        <v>0</v>
      </c>
      <c r="F51">
        <v>103.6</v>
      </c>
      <c r="G51" t="s">
        <v>111</v>
      </c>
      <c r="H51">
        <v>1</v>
      </c>
      <c r="I51">
        <v>50</v>
      </c>
      <c r="J51">
        <v>50</v>
      </c>
      <c r="K51" t="s">
        <v>188</v>
      </c>
    </row>
    <row r="52" spans="1:11" x14ac:dyDescent="0.3">
      <c r="A52" t="s">
        <v>21</v>
      </c>
      <c r="B52">
        <v>51</v>
      </c>
      <c r="C52" t="s">
        <v>84</v>
      </c>
      <c r="D52" t="s">
        <v>180</v>
      </c>
      <c r="E52">
        <v>0</v>
      </c>
      <c r="F52">
        <v>213.9</v>
      </c>
      <c r="G52" t="s">
        <v>113</v>
      </c>
      <c r="H52">
        <v>1</v>
      </c>
      <c r="I52">
        <v>51</v>
      </c>
      <c r="J52">
        <v>51</v>
      </c>
    </row>
    <row r="53" spans="1:11" x14ac:dyDescent="0.3">
      <c r="A53" t="s">
        <v>21</v>
      </c>
      <c r="B53">
        <v>52</v>
      </c>
      <c r="C53" t="s">
        <v>46</v>
      </c>
      <c r="D53" t="s">
        <v>46</v>
      </c>
      <c r="E53">
        <v>2</v>
      </c>
      <c r="F53">
        <v>5.2</v>
      </c>
      <c r="G53" t="s">
        <v>112</v>
      </c>
      <c r="H53">
        <v>0</v>
      </c>
      <c r="I53">
        <v>52</v>
      </c>
    </row>
    <row r="54" spans="1:11" x14ac:dyDescent="0.3">
      <c r="A54" t="s">
        <v>21</v>
      </c>
      <c r="B54">
        <v>53</v>
      </c>
      <c r="C54" t="s">
        <v>84</v>
      </c>
      <c r="D54" t="s">
        <v>181</v>
      </c>
      <c r="E54">
        <v>0</v>
      </c>
      <c r="F54">
        <v>311</v>
      </c>
      <c r="G54" t="s">
        <v>113</v>
      </c>
      <c r="H54">
        <v>1</v>
      </c>
      <c r="I54">
        <v>53</v>
      </c>
      <c r="J54">
        <v>53</v>
      </c>
    </row>
    <row r="55" spans="1:11" x14ac:dyDescent="0.3">
      <c r="A55" t="s">
        <v>21</v>
      </c>
      <c r="B55">
        <v>54</v>
      </c>
      <c r="C55" t="s">
        <v>170</v>
      </c>
      <c r="D55" t="s">
        <v>182</v>
      </c>
      <c r="E55">
        <v>0</v>
      </c>
      <c r="F55">
        <v>5.4</v>
      </c>
      <c r="G55" t="s">
        <v>111</v>
      </c>
      <c r="H55">
        <v>1</v>
      </c>
      <c r="I55">
        <v>54</v>
      </c>
      <c r="J55">
        <v>54</v>
      </c>
      <c r="K55" t="s">
        <v>188</v>
      </c>
    </row>
    <row r="56" spans="1:11" x14ac:dyDescent="0.3">
      <c r="A56" t="s">
        <v>21</v>
      </c>
      <c r="B56">
        <v>55</v>
      </c>
      <c r="C56" t="s">
        <v>71</v>
      </c>
      <c r="D56" t="s">
        <v>71</v>
      </c>
      <c r="E56">
        <v>2</v>
      </c>
      <c r="F56">
        <v>85.5</v>
      </c>
      <c r="G56" t="s">
        <v>112</v>
      </c>
      <c r="H56">
        <v>0</v>
      </c>
      <c r="I56">
        <v>55</v>
      </c>
    </row>
    <row r="57" spans="1:11" x14ac:dyDescent="0.3">
      <c r="A57" t="s">
        <v>21</v>
      </c>
      <c r="B57">
        <v>56</v>
      </c>
      <c r="C57" t="s">
        <v>171</v>
      </c>
      <c r="D57" t="s">
        <v>183</v>
      </c>
      <c r="E57">
        <v>0</v>
      </c>
      <c r="F57">
        <v>271.2</v>
      </c>
      <c r="G57" t="s">
        <v>111</v>
      </c>
      <c r="H57">
        <v>1</v>
      </c>
      <c r="I57">
        <v>56</v>
      </c>
      <c r="J57">
        <v>56</v>
      </c>
    </row>
    <row r="58" spans="1:11" x14ac:dyDescent="0.3">
      <c r="A58" t="s">
        <v>21</v>
      </c>
      <c r="B58">
        <v>57</v>
      </c>
      <c r="C58" t="s">
        <v>84</v>
      </c>
      <c r="D58" t="s">
        <v>25</v>
      </c>
      <c r="E58">
        <v>0</v>
      </c>
      <c r="F58">
        <v>45.5</v>
      </c>
      <c r="G58" t="s">
        <v>113</v>
      </c>
      <c r="H58">
        <v>1</v>
      </c>
      <c r="I58">
        <v>57</v>
      </c>
      <c r="J58">
        <v>57</v>
      </c>
    </row>
    <row r="59" spans="1:11" x14ac:dyDescent="0.3">
      <c r="A59" t="s">
        <v>21</v>
      </c>
      <c r="B59">
        <v>58</v>
      </c>
      <c r="C59" t="s">
        <v>172</v>
      </c>
      <c r="D59" t="s">
        <v>184</v>
      </c>
      <c r="E59">
        <v>2</v>
      </c>
      <c r="F59">
        <v>463.7</v>
      </c>
      <c r="G59" t="s">
        <v>112</v>
      </c>
      <c r="H59">
        <v>0</v>
      </c>
      <c r="I59">
        <v>58</v>
      </c>
    </row>
    <row r="60" spans="1:11" x14ac:dyDescent="0.3">
      <c r="A60" t="s">
        <v>21</v>
      </c>
      <c r="B60">
        <v>59</v>
      </c>
      <c r="C60" t="s">
        <v>84</v>
      </c>
      <c r="D60" t="s">
        <v>185</v>
      </c>
      <c r="E60">
        <v>0</v>
      </c>
      <c r="F60">
        <v>241.8</v>
      </c>
      <c r="G60" t="s">
        <v>113</v>
      </c>
      <c r="H60">
        <v>1</v>
      </c>
      <c r="I60">
        <v>59</v>
      </c>
      <c r="J60">
        <v>59</v>
      </c>
    </row>
    <row r="61" spans="1:11" x14ac:dyDescent="0.3">
      <c r="A61" t="s">
        <v>21</v>
      </c>
      <c r="B61">
        <v>60</v>
      </c>
      <c r="C61" t="s">
        <v>173</v>
      </c>
      <c r="D61" t="s">
        <v>186</v>
      </c>
      <c r="E61">
        <v>0</v>
      </c>
      <c r="F61">
        <v>367.9</v>
      </c>
      <c r="G61" t="s">
        <v>111</v>
      </c>
      <c r="H61">
        <v>1</v>
      </c>
      <c r="I61">
        <v>60</v>
      </c>
      <c r="J61">
        <v>60</v>
      </c>
      <c r="K61" t="s">
        <v>188</v>
      </c>
    </row>
    <row r="62" spans="1:11" x14ac:dyDescent="0.3">
      <c r="E62">
        <v>56.333333330000002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2"/>
  <sheetViews>
    <sheetView workbookViewId="0"/>
  </sheetViews>
  <sheetFormatPr defaultRowHeight="14.4" x14ac:dyDescent="0.3"/>
  <sheetData>
    <row r="1" spans="1:11" x14ac:dyDescent="0.3">
      <c r="A1" s="2" t="s">
        <v>8</v>
      </c>
      <c r="B1" s="2" t="s">
        <v>9</v>
      </c>
      <c r="C1" s="2" t="s">
        <v>10</v>
      </c>
      <c r="D1" s="2" t="s">
        <v>120</v>
      </c>
      <c r="E1" s="2" t="s">
        <v>12</v>
      </c>
      <c r="F1" s="2" t="s">
        <v>14</v>
      </c>
      <c r="G1" s="2" t="s">
        <v>121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 x14ac:dyDescent="0.3">
      <c r="A2" t="s">
        <v>19</v>
      </c>
      <c r="B2">
        <v>1</v>
      </c>
      <c r="C2" t="s">
        <v>19</v>
      </c>
      <c r="D2" t="s">
        <v>19</v>
      </c>
      <c r="E2">
        <v>1</v>
      </c>
      <c r="F2">
        <v>26.4</v>
      </c>
      <c r="G2" t="s">
        <v>112</v>
      </c>
      <c r="H2">
        <v>0</v>
      </c>
      <c r="I2">
        <v>1</v>
      </c>
    </row>
    <row r="3" spans="1:11" x14ac:dyDescent="0.3">
      <c r="A3" t="s">
        <v>19</v>
      </c>
      <c r="B3">
        <v>2</v>
      </c>
      <c r="C3" t="s">
        <v>21</v>
      </c>
      <c r="D3" t="s">
        <v>21</v>
      </c>
      <c r="E3">
        <v>1</v>
      </c>
      <c r="F3">
        <v>14.7</v>
      </c>
      <c r="G3" t="s">
        <v>112</v>
      </c>
      <c r="H3">
        <v>0</v>
      </c>
      <c r="I3">
        <v>2</v>
      </c>
    </row>
    <row r="4" spans="1:11" x14ac:dyDescent="0.3">
      <c r="A4" t="s">
        <v>19</v>
      </c>
      <c r="B4">
        <v>3</v>
      </c>
      <c r="C4" t="s">
        <v>19</v>
      </c>
      <c r="D4" t="s">
        <v>19</v>
      </c>
      <c r="E4">
        <v>1</v>
      </c>
      <c r="F4">
        <v>22.3</v>
      </c>
      <c r="G4" t="s">
        <v>112</v>
      </c>
      <c r="H4">
        <v>0</v>
      </c>
      <c r="I4">
        <v>3</v>
      </c>
    </row>
    <row r="5" spans="1:11" x14ac:dyDescent="0.3">
      <c r="A5" t="s">
        <v>19</v>
      </c>
      <c r="B5">
        <v>4</v>
      </c>
      <c r="C5" t="s">
        <v>20</v>
      </c>
      <c r="D5" t="s">
        <v>20</v>
      </c>
      <c r="E5">
        <v>1</v>
      </c>
      <c r="F5">
        <v>23.3</v>
      </c>
      <c r="G5" t="s">
        <v>112</v>
      </c>
      <c r="H5">
        <v>0</v>
      </c>
      <c r="I5">
        <v>4</v>
      </c>
    </row>
    <row r="6" spans="1:11" x14ac:dyDescent="0.3">
      <c r="A6" t="s">
        <v>19</v>
      </c>
      <c r="B6">
        <v>5</v>
      </c>
      <c r="C6" t="s">
        <v>19</v>
      </c>
      <c r="D6" t="s">
        <v>19</v>
      </c>
      <c r="E6">
        <v>1</v>
      </c>
      <c r="F6">
        <v>35.9</v>
      </c>
      <c r="G6" t="s">
        <v>112</v>
      </c>
      <c r="H6">
        <v>0</v>
      </c>
      <c r="I6">
        <v>5</v>
      </c>
    </row>
    <row r="7" spans="1:11" x14ac:dyDescent="0.3">
      <c r="A7" t="s">
        <v>19</v>
      </c>
      <c r="B7">
        <v>6</v>
      </c>
      <c r="C7" t="s">
        <v>20</v>
      </c>
      <c r="D7" t="s">
        <v>20</v>
      </c>
      <c r="E7">
        <v>1</v>
      </c>
      <c r="F7">
        <v>140.9</v>
      </c>
      <c r="G7" t="s">
        <v>112</v>
      </c>
      <c r="H7">
        <v>0</v>
      </c>
      <c r="I7">
        <v>6</v>
      </c>
    </row>
    <row r="8" spans="1:11" x14ac:dyDescent="0.3">
      <c r="A8" t="s">
        <v>19</v>
      </c>
      <c r="B8">
        <v>7</v>
      </c>
      <c r="C8" t="s">
        <v>19</v>
      </c>
      <c r="D8" t="s">
        <v>19</v>
      </c>
      <c r="E8">
        <v>1</v>
      </c>
      <c r="F8">
        <v>3.3</v>
      </c>
      <c r="G8" t="s">
        <v>112</v>
      </c>
      <c r="H8">
        <v>0</v>
      </c>
      <c r="I8">
        <v>7</v>
      </c>
    </row>
    <row r="9" spans="1:11" x14ac:dyDescent="0.3">
      <c r="A9" t="s">
        <v>19</v>
      </c>
      <c r="B9">
        <v>8</v>
      </c>
      <c r="C9" t="s">
        <v>20</v>
      </c>
      <c r="D9" t="s">
        <v>20</v>
      </c>
      <c r="E9">
        <v>1</v>
      </c>
      <c r="F9">
        <v>85.2</v>
      </c>
      <c r="G9" t="s">
        <v>112</v>
      </c>
      <c r="H9">
        <v>0</v>
      </c>
      <c r="I9">
        <v>8</v>
      </c>
    </row>
    <row r="10" spans="1:11" x14ac:dyDescent="0.3">
      <c r="A10" t="s">
        <v>19</v>
      </c>
      <c r="B10">
        <v>9</v>
      </c>
      <c r="C10" t="s">
        <v>21</v>
      </c>
      <c r="D10" t="s">
        <v>83</v>
      </c>
      <c r="E10">
        <v>-0.33333333300000001</v>
      </c>
      <c r="F10">
        <v>90</v>
      </c>
      <c r="G10" t="s">
        <v>111</v>
      </c>
      <c r="H10">
        <v>1</v>
      </c>
      <c r="I10">
        <v>9</v>
      </c>
      <c r="J10">
        <v>9</v>
      </c>
      <c r="K10" t="s">
        <v>202</v>
      </c>
    </row>
    <row r="11" spans="1:11" x14ac:dyDescent="0.3">
      <c r="A11" t="s">
        <v>19</v>
      </c>
      <c r="B11">
        <v>10</v>
      </c>
      <c r="C11" t="s">
        <v>19</v>
      </c>
      <c r="D11" t="s">
        <v>19</v>
      </c>
      <c r="E11">
        <v>1</v>
      </c>
      <c r="F11">
        <v>53.9</v>
      </c>
      <c r="G11" t="s">
        <v>112</v>
      </c>
      <c r="H11">
        <v>0</v>
      </c>
      <c r="I11">
        <v>10</v>
      </c>
    </row>
    <row r="12" spans="1:11" x14ac:dyDescent="0.3">
      <c r="A12" t="s">
        <v>19</v>
      </c>
      <c r="B12">
        <v>11</v>
      </c>
      <c r="C12" t="s">
        <v>19</v>
      </c>
      <c r="D12" t="s">
        <v>19</v>
      </c>
      <c r="E12">
        <v>2</v>
      </c>
      <c r="F12">
        <v>87.7</v>
      </c>
      <c r="G12" t="s">
        <v>112</v>
      </c>
      <c r="H12">
        <v>0</v>
      </c>
      <c r="I12">
        <v>11</v>
      </c>
    </row>
    <row r="13" spans="1:11" x14ac:dyDescent="0.3">
      <c r="A13" t="s">
        <v>19</v>
      </c>
      <c r="B13">
        <v>12</v>
      </c>
      <c r="C13" t="s">
        <v>19</v>
      </c>
      <c r="D13" t="s">
        <v>19</v>
      </c>
      <c r="E13">
        <v>2</v>
      </c>
      <c r="F13">
        <v>115.5</v>
      </c>
      <c r="G13" t="s">
        <v>112</v>
      </c>
      <c r="H13">
        <v>0</v>
      </c>
      <c r="I13">
        <v>12</v>
      </c>
    </row>
    <row r="14" spans="1:11" x14ac:dyDescent="0.3">
      <c r="A14" t="s">
        <v>19</v>
      </c>
      <c r="B14">
        <v>13</v>
      </c>
      <c r="C14" t="s">
        <v>20</v>
      </c>
      <c r="D14" t="s">
        <v>20</v>
      </c>
      <c r="E14">
        <v>2</v>
      </c>
      <c r="F14">
        <v>35.700000000000003</v>
      </c>
      <c r="G14" t="s">
        <v>112</v>
      </c>
      <c r="H14">
        <v>0</v>
      </c>
      <c r="I14">
        <v>13</v>
      </c>
    </row>
    <row r="15" spans="1:11" x14ac:dyDescent="0.3">
      <c r="A15" t="s">
        <v>19</v>
      </c>
      <c r="B15">
        <v>14</v>
      </c>
      <c r="C15" t="s">
        <v>21</v>
      </c>
      <c r="D15" t="s">
        <v>21</v>
      </c>
      <c r="E15">
        <v>2</v>
      </c>
      <c r="F15">
        <v>280.2</v>
      </c>
      <c r="G15" t="s">
        <v>112</v>
      </c>
      <c r="H15">
        <v>0</v>
      </c>
      <c r="I15">
        <v>14</v>
      </c>
    </row>
    <row r="16" spans="1:11" x14ac:dyDescent="0.3">
      <c r="A16" t="s">
        <v>19</v>
      </c>
      <c r="B16">
        <v>15</v>
      </c>
      <c r="C16" t="s">
        <v>83</v>
      </c>
      <c r="D16" t="s">
        <v>19</v>
      </c>
      <c r="E16">
        <v>-0.66666666699999999</v>
      </c>
      <c r="F16">
        <v>499.6</v>
      </c>
      <c r="G16" t="s">
        <v>111</v>
      </c>
      <c r="H16">
        <v>1</v>
      </c>
      <c r="I16">
        <v>15</v>
      </c>
      <c r="J16">
        <v>15</v>
      </c>
      <c r="K16" t="s">
        <v>203</v>
      </c>
    </row>
    <row r="17" spans="1:11" x14ac:dyDescent="0.3">
      <c r="A17" t="s">
        <v>19</v>
      </c>
      <c r="B17">
        <v>16</v>
      </c>
      <c r="C17" t="s">
        <v>19</v>
      </c>
      <c r="D17" t="s">
        <v>19</v>
      </c>
      <c r="E17">
        <v>2</v>
      </c>
      <c r="F17">
        <v>111</v>
      </c>
      <c r="G17" t="s">
        <v>112</v>
      </c>
      <c r="H17">
        <v>0</v>
      </c>
      <c r="I17">
        <v>16</v>
      </c>
    </row>
    <row r="18" spans="1:11" x14ac:dyDescent="0.3">
      <c r="A18" t="s">
        <v>19</v>
      </c>
      <c r="B18">
        <v>17</v>
      </c>
      <c r="C18" t="s">
        <v>21</v>
      </c>
      <c r="D18" t="s">
        <v>21</v>
      </c>
      <c r="E18">
        <v>2</v>
      </c>
      <c r="F18">
        <v>3.3</v>
      </c>
      <c r="G18" t="s">
        <v>112</v>
      </c>
      <c r="H18">
        <v>0</v>
      </c>
      <c r="I18">
        <v>17</v>
      </c>
    </row>
    <row r="19" spans="1:11" x14ac:dyDescent="0.3">
      <c r="A19" t="s">
        <v>19</v>
      </c>
      <c r="B19">
        <v>18</v>
      </c>
      <c r="C19" t="s">
        <v>21</v>
      </c>
      <c r="D19" t="s">
        <v>19</v>
      </c>
      <c r="E19">
        <v>-0.66666666699999999</v>
      </c>
      <c r="F19">
        <v>32.700000000000003</v>
      </c>
      <c r="G19" t="s">
        <v>111</v>
      </c>
      <c r="H19">
        <v>1</v>
      </c>
      <c r="I19">
        <v>18</v>
      </c>
      <c r="J19">
        <v>18</v>
      </c>
    </row>
    <row r="20" spans="1:11" x14ac:dyDescent="0.3">
      <c r="A20" t="s">
        <v>19</v>
      </c>
      <c r="B20">
        <v>19</v>
      </c>
      <c r="C20" t="s">
        <v>20</v>
      </c>
      <c r="D20" t="s">
        <v>20</v>
      </c>
      <c r="E20">
        <v>2</v>
      </c>
      <c r="F20">
        <v>46.7</v>
      </c>
      <c r="G20" t="s">
        <v>112</v>
      </c>
      <c r="H20">
        <v>0</v>
      </c>
      <c r="I20">
        <v>19</v>
      </c>
    </row>
    <row r="21" spans="1:11" x14ac:dyDescent="0.3">
      <c r="A21" t="s">
        <v>19</v>
      </c>
      <c r="B21">
        <v>20</v>
      </c>
      <c r="C21" t="s">
        <v>19</v>
      </c>
      <c r="D21" t="s">
        <v>83</v>
      </c>
      <c r="E21">
        <v>-0.66666666699999999</v>
      </c>
      <c r="F21">
        <v>55.9</v>
      </c>
      <c r="G21" t="s">
        <v>111</v>
      </c>
      <c r="H21">
        <v>1</v>
      </c>
      <c r="I21">
        <v>20</v>
      </c>
      <c r="J21">
        <v>20</v>
      </c>
      <c r="K21" t="s">
        <v>204</v>
      </c>
    </row>
    <row r="22" spans="1:11" x14ac:dyDescent="0.3">
      <c r="A22" t="s">
        <v>19</v>
      </c>
      <c r="B22">
        <v>21</v>
      </c>
      <c r="C22" t="s">
        <v>20</v>
      </c>
      <c r="D22" t="s">
        <v>20</v>
      </c>
      <c r="E22">
        <v>2</v>
      </c>
      <c r="F22">
        <v>131.9</v>
      </c>
      <c r="G22" t="s">
        <v>112</v>
      </c>
      <c r="H22">
        <v>0</v>
      </c>
      <c r="I22">
        <v>21</v>
      </c>
    </row>
    <row r="23" spans="1:11" x14ac:dyDescent="0.3">
      <c r="A23" t="s">
        <v>19</v>
      </c>
      <c r="B23">
        <v>22</v>
      </c>
      <c r="C23" t="s">
        <v>21</v>
      </c>
      <c r="D23" t="s">
        <v>21</v>
      </c>
      <c r="E23">
        <v>2</v>
      </c>
      <c r="F23">
        <v>4.9000000000000004</v>
      </c>
      <c r="G23" t="s">
        <v>112</v>
      </c>
      <c r="H23">
        <v>0</v>
      </c>
      <c r="I23">
        <v>22</v>
      </c>
    </row>
    <row r="24" spans="1:11" x14ac:dyDescent="0.3">
      <c r="A24" t="s">
        <v>19</v>
      </c>
      <c r="B24">
        <v>23</v>
      </c>
      <c r="C24" t="s">
        <v>21</v>
      </c>
      <c r="D24" t="s">
        <v>21</v>
      </c>
      <c r="E24">
        <v>2</v>
      </c>
      <c r="F24">
        <v>65.599999999999994</v>
      </c>
      <c r="G24" t="s">
        <v>112</v>
      </c>
      <c r="H24">
        <v>0</v>
      </c>
      <c r="I24">
        <v>23</v>
      </c>
    </row>
    <row r="25" spans="1:11" x14ac:dyDescent="0.3">
      <c r="A25" t="s">
        <v>19</v>
      </c>
      <c r="B25">
        <v>24</v>
      </c>
      <c r="C25" t="s">
        <v>21</v>
      </c>
      <c r="D25" t="s">
        <v>21</v>
      </c>
      <c r="E25">
        <v>2</v>
      </c>
      <c r="F25">
        <v>243.9</v>
      </c>
      <c r="G25" t="s">
        <v>112</v>
      </c>
      <c r="H25">
        <v>0</v>
      </c>
      <c r="I25">
        <v>24</v>
      </c>
    </row>
    <row r="26" spans="1:11" x14ac:dyDescent="0.3">
      <c r="A26" t="s">
        <v>19</v>
      </c>
      <c r="B26">
        <v>25</v>
      </c>
      <c r="C26" t="s">
        <v>19</v>
      </c>
      <c r="D26" t="s">
        <v>19</v>
      </c>
      <c r="E26">
        <v>2</v>
      </c>
      <c r="F26">
        <v>171.5</v>
      </c>
      <c r="G26" t="s">
        <v>112</v>
      </c>
      <c r="H26">
        <v>0</v>
      </c>
      <c r="I26">
        <v>25</v>
      </c>
    </row>
    <row r="27" spans="1:11" x14ac:dyDescent="0.3">
      <c r="A27" t="s">
        <v>19</v>
      </c>
      <c r="B27">
        <v>26</v>
      </c>
      <c r="C27" t="s">
        <v>83</v>
      </c>
      <c r="D27" t="s">
        <v>83</v>
      </c>
      <c r="E27">
        <v>2</v>
      </c>
      <c r="F27">
        <v>74.400000000000006</v>
      </c>
      <c r="G27" t="s">
        <v>112</v>
      </c>
      <c r="H27">
        <v>0</v>
      </c>
      <c r="I27">
        <v>26</v>
      </c>
    </row>
    <row r="28" spans="1:11" x14ac:dyDescent="0.3">
      <c r="A28" t="s">
        <v>19</v>
      </c>
      <c r="B28">
        <v>27</v>
      </c>
      <c r="C28" t="s">
        <v>20</v>
      </c>
      <c r="D28" t="s">
        <v>20</v>
      </c>
      <c r="E28">
        <v>2</v>
      </c>
      <c r="F28">
        <v>8.6999999999999993</v>
      </c>
      <c r="G28" t="s">
        <v>112</v>
      </c>
      <c r="H28">
        <v>0</v>
      </c>
      <c r="I28">
        <v>27</v>
      </c>
    </row>
    <row r="29" spans="1:11" x14ac:dyDescent="0.3">
      <c r="A29" t="s">
        <v>19</v>
      </c>
      <c r="B29">
        <v>28</v>
      </c>
      <c r="C29" t="s">
        <v>21</v>
      </c>
      <c r="D29" t="s">
        <v>21</v>
      </c>
      <c r="E29">
        <v>2</v>
      </c>
      <c r="F29">
        <v>62.5</v>
      </c>
      <c r="G29" t="s">
        <v>112</v>
      </c>
      <c r="H29">
        <v>0</v>
      </c>
      <c r="I29">
        <v>28</v>
      </c>
    </row>
    <row r="30" spans="1:11" x14ac:dyDescent="0.3">
      <c r="A30" t="s">
        <v>19</v>
      </c>
      <c r="B30">
        <v>29</v>
      </c>
      <c r="C30" t="s">
        <v>21</v>
      </c>
      <c r="D30" t="s">
        <v>83</v>
      </c>
      <c r="E30">
        <v>-0.66666666699999999</v>
      </c>
      <c r="F30">
        <v>29.7</v>
      </c>
      <c r="G30" t="s">
        <v>111</v>
      </c>
      <c r="H30">
        <v>1</v>
      </c>
      <c r="I30">
        <v>29</v>
      </c>
      <c r="J30">
        <v>29</v>
      </c>
    </row>
    <row r="31" spans="1:11" x14ac:dyDescent="0.3">
      <c r="A31" t="s">
        <v>19</v>
      </c>
      <c r="B31">
        <v>30</v>
      </c>
      <c r="C31" t="s">
        <v>21</v>
      </c>
      <c r="D31" t="s">
        <v>21</v>
      </c>
      <c r="E31">
        <v>2</v>
      </c>
      <c r="F31">
        <v>32.5</v>
      </c>
      <c r="G31" t="s">
        <v>112</v>
      </c>
      <c r="H31">
        <v>0</v>
      </c>
      <c r="I31">
        <v>30</v>
      </c>
    </row>
    <row r="32" spans="1:11" x14ac:dyDescent="0.3">
      <c r="A32" t="s">
        <v>20</v>
      </c>
      <c r="B32">
        <v>31</v>
      </c>
      <c r="C32" t="s">
        <v>124</v>
      </c>
      <c r="D32" t="s">
        <v>124</v>
      </c>
      <c r="E32">
        <v>2</v>
      </c>
      <c r="F32">
        <v>101.5</v>
      </c>
      <c r="G32" t="s">
        <v>112</v>
      </c>
      <c r="H32">
        <v>0</v>
      </c>
      <c r="I32">
        <v>31</v>
      </c>
    </row>
    <row r="33" spans="1:11" x14ac:dyDescent="0.3">
      <c r="A33" t="s">
        <v>20</v>
      </c>
      <c r="B33">
        <v>32</v>
      </c>
      <c r="C33" t="s">
        <v>124</v>
      </c>
      <c r="D33" t="s">
        <v>122</v>
      </c>
      <c r="E33">
        <v>0</v>
      </c>
      <c r="F33">
        <v>367</v>
      </c>
      <c r="G33" t="s">
        <v>111</v>
      </c>
      <c r="H33">
        <v>1</v>
      </c>
      <c r="I33">
        <v>32</v>
      </c>
      <c r="J33">
        <v>32</v>
      </c>
      <c r="K33" t="s">
        <v>205</v>
      </c>
    </row>
    <row r="34" spans="1:11" x14ac:dyDescent="0.3">
      <c r="A34" t="s">
        <v>20</v>
      </c>
      <c r="B34">
        <v>33</v>
      </c>
      <c r="C34" t="s">
        <v>87</v>
      </c>
      <c r="D34" t="s">
        <v>198</v>
      </c>
      <c r="E34">
        <v>0</v>
      </c>
      <c r="F34">
        <v>143</v>
      </c>
      <c r="G34" t="s">
        <v>111</v>
      </c>
      <c r="H34">
        <v>1</v>
      </c>
      <c r="I34">
        <v>33</v>
      </c>
      <c r="J34">
        <v>33</v>
      </c>
      <c r="K34" t="s">
        <v>206</v>
      </c>
    </row>
    <row r="35" spans="1:11" x14ac:dyDescent="0.3">
      <c r="A35" t="s">
        <v>20</v>
      </c>
      <c r="B35">
        <v>34</v>
      </c>
      <c r="C35" t="s">
        <v>85</v>
      </c>
      <c r="D35" t="s">
        <v>85</v>
      </c>
      <c r="E35">
        <v>2</v>
      </c>
      <c r="F35">
        <v>236</v>
      </c>
      <c r="G35" t="s">
        <v>112</v>
      </c>
      <c r="H35">
        <v>0</v>
      </c>
      <c r="I35">
        <v>34</v>
      </c>
    </row>
    <row r="36" spans="1:11" x14ac:dyDescent="0.3">
      <c r="A36" t="s">
        <v>20</v>
      </c>
      <c r="B36">
        <v>35</v>
      </c>
      <c r="C36" t="s">
        <v>87</v>
      </c>
      <c r="D36" t="s">
        <v>87</v>
      </c>
      <c r="E36">
        <v>2</v>
      </c>
      <c r="F36">
        <v>149.19999999999999</v>
      </c>
      <c r="G36" t="s">
        <v>112</v>
      </c>
      <c r="H36">
        <v>0</v>
      </c>
      <c r="I36">
        <v>35</v>
      </c>
    </row>
    <row r="37" spans="1:11" x14ac:dyDescent="0.3">
      <c r="A37" t="s">
        <v>20</v>
      </c>
      <c r="B37">
        <v>36</v>
      </c>
      <c r="C37" t="s">
        <v>85</v>
      </c>
      <c r="D37" t="s">
        <v>85</v>
      </c>
      <c r="E37">
        <v>2</v>
      </c>
      <c r="F37">
        <v>69</v>
      </c>
      <c r="G37" t="s">
        <v>112</v>
      </c>
      <c r="H37">
        <v>0</v>
      </c>
      <c r="I37">
        <v>36</v>
      </c>
    </row>
    <row r="38" spans="1:11" x14ac:dyDescent="0.3">
      <c r="A38" t="s">
        <v>20</v>
      </c>
      <c r="B38">
        <v>37</v>
      </c>
      <c r="C38" t="s">
        <v>124</v>
      </c>
      <c r="D38" t="s">
        <v>124</v>
      </c>
      <c r="E38">
        <v>2</v>
      </c>
      <c r="F38">
        <v>73.400000000000006</v>
      </c>
      <c r="G38" t="s">
        <v>112</v>
      </c>
      <c r="H38">
        <v>0</v>
      </c>
      <c r="I38">
        <v>37</v>
      </c>
    </row>
    <row r="39" spans="1:11" x14ac:dyDescent="0.3">
      <c r="A39" t="s">
        <v>20</v>
      </c>
      <c r="B39">
        <v>38</v>
      </c>
      <c r="C39" t="s">
        <v>162</v>
      </c>
      <c r="D39" t="s">
        <v>123</v>
      </c>
      <c r="E39">
        <v>0</v>
      </c>
      <c r="F39">
        <v>503.3</v>
      </c>
      <c r="G39" t="s">
        <v>111</v>
      </c>
      <c r="H39">
        <v>1</v>
      </c>
      <c r="I39">
        <v>38</v>
      </c>
      <c r="J39">
        <v>38</v>
      </c>
    </row>
    <row r="40" spans="1:11" x14ac:dyDescent="0.3">
      <c r="A40" t="s">
        <v>20</v>
      </c>
      <c r="B40">
        <v>39</v>
      </c>
      <c r="C40" t="s">
        <v>124</v>
      </c>
      <c r="D40" t="s">
        <v>122</v>
      </c>
      <c r="E40">
        <v>0</v>
      </c>
      <c r="F40">
        <v>4.5999999999999996</v>
      </c>
      <c r="G40" t="s">
        <v>111</v>
      </c>
      <c r="H40">
        <v>1</v>
      </c>
      <c r="I40">
        <v>39</v>
      </c>
      <c r="J40">
        <v>39</v>
      </c>
      <c r="K40" t="s">
        <v>207</v>
      </c>
    </row>
    <row r="41" spans="1:11" x14ac:dyDescent="0.3">
      <c r="A41" t="s">
        <v>20</v>
      </c>
      <c r="B41">
        <v>40</v>
      </c>
      <c r="C41" t="s">
        <v>88</v>
      </c>
      <c r="D41" t="s">
        <v>90</v>
      </c>
      <c r="E41">
        <v>0</v>
      </c>
      <c r="F41">
        <v>78.8</v>
      </c>
      <c r="G41" t="s">
        <v>111</v>
      </c>
      <c r="H41">
        <v>1</v>
      </c>
      <c r="I41">
        <v>40</v>
      </c>
      <c r="J41">
        <v>40</v>
      </c>
      <c r="K41" t="s">
        <v>208</v>
      </c>
    </row>
    <row r="42" spans="1:11" x14ac:dyDescent="0.3">
      <c r="A42" t="s">
        <v>21</v>
      </c>
      <c r="B42">
        <v>41</v>
      </c>
      <c r="C42" t="s">
        <v>189</v>
      </c>
      <c r="D42" t="s">
        <v>189</v>
      </c>
      <c r="E42">
        <v>1</v>
      </c>
      <c r="F42">
        <v>300.7</v>
      </c>
      <c r="G42" t="s">
        <v>112</v>
      </c>
      <c r="H42">
        <v>0</v>
      </c>
      <c r="I42">
        <v>41</v>
      </c>
    </row>
    <row r="43" spans="1:11" x14ac:dyDescent="0.3">
      <c r="A43" t="s">
        <v>21</v>
      </c>
      <c r="B43">
        <v>42</v>
      </c>
      <c r="C43" t="s">
        <v>190</v>
      </c>
      <c r="D43" t="s">
        <v>199</v>
      </c>
      <c r="E43">
        <v>1</v>
      </c>
      <c r="F43">
        <v>134.4</v>
      </c>
      <c r="G43" t="s">
        <v>112</v>
      </c>
      <c r="H43">
        <v>0</v>
      </c>
      <c r="I43">
        <v>42</v>
      </c>
    </row>
    <row r="44" spans="1:11" x14ac:dyDescent="0.3">
      <c r="A44" t="s">
        <v>21</v>
      </c>
      <c r="B44">
        <v>43</v>
      </c>
      <c r="C44" t="s">
        <v>191</v>
      </c>
      <c r="D44" t="s">
        <v>191</v>
      </c>
      <c r="E44">
        <v>1</v>
      </c>
      <c r="F44">
        <v>2027.4</v>
      </c>
      <c r="G44" t="s">
        <v>112</v>
      </c>
      <c r="H44">
        <v>0</v>
      </c>
      <c r="I44">
        <v>43</v>
      </c>
    </row>
    <row r="45" spans="1:11" x14ac:dyDescent="0.3">
      <c r="A45" t="s">
        <v>21</v>
      </c>
      <c r="B45">
        <v>44</v>
      </c>
      <c r="C45" t="s">
        <v>26</v>
      </c>
      <c r="D45" t="s">
        <v>26</v>
      </c>
      <c r="E45">
        <v>1</v>
      </c>
      <c r="F45">
        <v>349.7</v>
      </c>
      <c r="G45" t="s">
        <v>112</v>
      </c>
      <c r="H45">
        <v>0</v>
      </c>
      <c r="I45">
        <v>44</v>
      </c>
    </row>
    <row r="46" spans="1:11" x14ac:dyDescent="0.3">
      <c r="A46" t="s">
        <v>21</v>
      </c>
      <c r="B46">
        <v>45</v>
      </c>
      <c r="C46" t="s">
        <v>109</v>
      </c>
      <c r="D46" t="s">
        <v>109</v>
      </c>
      <c r="E46">
        <v>1</v>
      </c>
      <c r="F46">
        <v>48.4</v>
      </c>
      <c r="G46" t="s">
        <v>112</v>
      </c>
      <c r="H46">
        <v>0</v>
      </c>
      <c r="I46">
        <v>45</v>
      </c>
    </row>
    <row r="47" spans="1:11" x14ac:dyDescent="0.3">
      <c r="A47" t="s">
        <v>21</v>
      </c>
      <c r="B47">
        <v>46</v>
      </c>
      <c r="C47" t="s">
        <v>192</v>
      </c>
      <c r="D47" t="s">
        <v>27</v>
      </c>
      <c r="E47">
        <v>1</v>
      </c>
      <c r="F47">
        <v>82.8</v>
      </c>
      <c r="G47" t="s">
        <v>112</v>
      </c>
      <c r="H47">
        <v>0</v>
      </c>
      <c r="I47">
        <v>46</v>
      </c>
    </row>
    <row r="48" spans="1:11" x14ac:dyDescent="0.3">
      <c r="A48" t="s">
        <v>21</v>
      </c>
      <c r="B48">
        <v>47</v>
      </c>
      <c r="C48" t="s">
        <v>25</v>
      </c>
      <c r="D48" t="s">
        <v>25</v>
      </c>
      <c r="E48">
        <v>1</v>
      </c>
      <c r="F48">
        <v>784</v>
      </c>
      <c r="G48" t="s">
        <v>112</v>
      </c>
      <c r="H48">
        <v>0</v>
      </c>
      <c r="I48">
        <v>47</v>
      </c>
    </row>
    <row r="49" spans="1:9" x14ac:dyDescent="0.3">
      <c r="A49" t="s">
        <v>21</v>
      </c>
      <c r="B49">
        <v>48</v>
      </c>
      <c r="C49" t="s">
        <v>93</v>
      </c>
      <c r="D49" t="s">
        <v>93</v>
      </c>
      <c r="E49">
        <v>1</v>
      </c>
      <c r="F49">
        <v>95</v>
      </c>
      <c r="G49" t="s">
        <v>112</v>
      </c>
      <c r="H49">
        <v>0</v>
      </c>
      <c r="I49">
        <v>48</v>
      </c>
    </row>
    <row r="50" spans="1:9" x14ac:dyDescent="0.3">
      <c r="A50" t="s">
        <v>21</v>
      </c>
      <c r="B50">
        <v>49</v>
      </c>
      <c r="C50" t="s">
        <v>41</v>
      </c>
      <c r="D50" t="s">
        <v>41</v>
      </c>
      <c r="E50">
        <v>1</v>
      </c>
      <c r="F50">
        <v>67.8</v>
      </c>
      <c r="G50" t="s">
        <v>112</v>
      </c>
      <c r="H50">
        <v>0</v>
      </c>
      <c r="I50">
        <v>49</v>
      </c>
    </row>
    <row r="51" spans="1:9" x14ac:dyDescent="0.3">
      <c r="A51" t="s">
        <v>21</v>
      </c>
      <c r="B51">
        <v>50</v>
      </c>
      <c r="C51" t="s">
        <v>71</v>
      </c>
      <c r="D51" t="s">
        <v>71</v>
      </c>
      <c r="E51">
        <v>1</v>
      </c>
      <c r="F51">
        <v>47.3</v>
      </c>
      <c r="G51" t="s">
        <v>112</v>
      </c>
      <c r="H51">
        <v>0</v>
      </c>
      <c r="I51">
        <v>50</v>
      </c>
    </row>
    <row r="52" spans="1:9" x14ac:dyDescent="0.3">
      <c r="A52" t="s">
        <v>21</v>
      </c>
      <c r="B52">
        <v>51</v>
      </c>
      <c r="C52" t="s">
        <v>193</v>
      </c>
      <c r="D52" t="s">
        <v>200</v>
      </c>
      <c r="E52">
        <v>2</v>
      </c>
      <c r="F52">
        <v>165.5</v>
      </c>
      <c r="G52" t="s">
        <v>112</v>
      </c>
      <c r="H52">
        <v>0</v>
      </c>
      <c r="I52">
        <v>51</v>
      </c>
    </row>
    <row r="53" spans="1:9" x14ac:dyDescent="0.3">
      <c r="A53" t="s">
        <v>21</v>
      </c>
      <c r="B53">
        <v>52</v>
      </c>
      <c r="C53" t="s">
        <v>194</v>
      </c>
      <c r="D53" t="s">
        <v>194</v>
      </c>
      <c r="E53">
        <v>2</v>
      </c>
      <c r="F53">
        <v>105.3</v>
      </c>
      <c r="G53" t="s">
        <v>112</v>
      </c>
      <c r="H53">
        <v>0</v>
      </c>
      <c r="I53">
        <v>52</v>
      </c>
    </row>
    <row r="54" spans="1:9" x14ac:dyDescent="0.3">
      <c r="A54" t="s">
        <v>21</v>
      </c>
      <c r="B54">
        <v>53</v>
      </c>
      <c r="C54" t="s">
        <v>195</v>
      </c>
      <c r="D54" t="s">
        <v>201</v>
      </c>
      <c r="E54">
        <v>2</v>
      </c>
      <c r="F54">
        <v>963.2</v>
      </c>
      <c r="G54" t="s">
        <v>112</v>
      </c>
      <c r="H54">
        <v>0</v>
      </c>
      <c r="I54">
        <v>53</v>
      </c>
    </row>
    <row r="55" spans="1:9" x14ac:dyDescent="0.3">
      <c r="A55" t="s">
        <v>21</v>
      </c>
      <c r="B55">
        <v>54</v>
      </c>
      <c r="C55" t="s">
        <v>175</v>
      </c>
      <c r="D55" t="s">
        <v>175</v>
      </c>
      <c r="E55">
        <v>2</v>
      </c>
      <c r="F55">
        <v>15.9</v>
      </c>
      <c r="G55" t="s">
        <v>112</v>
      </c>
      <c r="H55">
        <v>0</v>
      </c>
      <c r="I55">
        <v>54</v>
      </c>
    </row>
    <row r="56" spans="1:9" x14ac:dyDescent="0.3">
      <c r="A56" t="s">
        <v>21</v>
      </c>
      <c r="B56">
        <v>55</v>
      </c>
      <c r="C56" t="s">
        <v>23</v>
      </c>
      <c r="D56" t="s">
        <v>23</v>
      </c>
      <c r="E56">
        <v>2</v>
      </c>
      <c r="F56">
        <v>4.9000000000000004</v>
      </c>
      <c r="G56" t="s">
        <v>112</v>
      </c>
      <c r="H56">
        <v>0</v>
      </c>
      <c r="I56">
        <v>55</v>
      </c>
    </row>
    <row r="57" spans="1:9" x14ac:dyDescent="0.3">
      <c r="A57" t="s">
        <v>21</v>
      </c>
      <c r="B57">
        <v>56</v>
      </c>
      <c r="C57" t="s">
        <v>91</v>
      </c>
      <c r="D57" t="s">
        <v>91</v>
      </c>
      <c r="E57">
        <v>2</v>
      </c>
      <c r="F57">
        <v>224.7</v>
      </c>
      <c r="G57" t="s">
        <v>112</v>
      </c>
      <c r="H57">
        <v>0</v>
      </c>
      <c r="I57">
        <v>56</v>
      </c>
    </row>
    <row r="58" spans="1:9" x14ac:dyDescent="0.3">
      <c r="A58" t="s">
        <v>21</v>
      </c>
      <c r="B58">
        <v>57</v>
      </c>
      <c r="C58" t="s">
        <v>92</v>
      </c>
      <c r="D58" t="s">
        <v>92</v>
      </c>
      <c r="E58">
        <v>2</v>
      </c>
      <c r="F58">
        <v>107.6</v>
      </c>
      <c r="G58" t="s">
        <v>112</v>
      </c>
      <c r="H58">
        <v>0</v>
      </c>
      <c r="I58">
        <v>57</v>
      </c>
    </row>
    <row r="59" spans="1:9" x14ac:dyDescent="0.3">
      <c r="A59" t="s">
        <v>21</v>
      </c>
      <c r="B59">
        <v>58</v>
      </c>
      <c r="C59" t="s">
        <v>196</v>
      </c>
      <c r="D59" t="s">
        <v>196</v>
      </c>
      <c r="E59">
        <v>2</v>
      </c>
      <c r="F59">
        <v>522.70000000000005</v>
      </c>
      <c r="G59" t="s">
        <v>112</v>
      </c>
      <c r="H59">
        <v>0</v>
      </c>
      <c r="I59">
        <v>58</v>
      </c>
    </row>
    <row r="60" spans="1:9" x14ac:dyDescent="0.3">
      <c r="A60" t="s">
        <v>21</v>
      </c>
      <c r="B60">
        <v>59</v>
      </c>
      <c r="C60" t="s">
        <v>197</v>
      </c>
      <c r="D60" t="s">
        <v>197</v>
      </c>
      <c r="E60">
        <v>2</v>
      </c>
      <c r="F60">
        <v>147.4</v>
      </c>
      <c r="G60" t="s">
        <v>112</v>
      </c>
      <c r="H60">
        <v>0</v>
      </c>
      <c r="I60">
        <v>59</v>
      </c>
    </row>
    <row r="61" spans="1:9" x14ac:dyDescent="0.3">
      <c r="A61" t="s">
        <v>21</v>
      </c>
      <c r="B61">
        <v>60</v>
      </c>
      <c r="C61" t="s">
        <v>97</v>
      </c>
      <c r="D61" t="s">
        <v>97</v>
      </c>
      <c r="E61">
        <v>2</v>
      </c>
      <c r="F61">
        <v>52.5</v>
      </c>
      <c r="G61" t="s">
        <v>112</v>
      </c>
      <c r="H61">
        <v>0</v>
      </c>
      <c r="I61">
        <v>60</v>
      </c>
    </row>
    <row r="62" spans="1:9" x14ac:dyDescent="0.3">
      <c r="E62">
        <v>78</v>
      </c>
      <c r="H62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2"/>
  <sheetViews>
    <sheetView tabSelected="1" topLeftCell="C1" zoomScale="47" workbookViewId="0">
      <selection activeCell="F43" sqref="F43"/>
    </sheetView>
  </sheetViews>
  <sheetFormatPr defaultRowHeight="14.4" x14ac:dyDescent="0.3"/>
  <cols>
    <col min="1" max="1" width="6.33203125" bestFit="1" customWidth="1"/>
    <col min="2" max="2" width="11" bestFit="1" customWidth="1"/>
    <col min="3" max="3" width="43.21875" customWidth="1"/>
    <col min="4" max="4" width="14.88671875" bestFit="1" customWidth="1"/>
    <col min="5" max="5" width="65.33203125" customWidth="1"/>
    <col min="6" max="6" width="35.5546875" customWidth="1"/>
    <col min="7" max="7" width="20.33203125" bestFit="1" customWidth="1"/>
    <col min="8" max="8" width="81.5546875" bestFit="1" customWidth="1"/>
    <col min="9" max="9" width="11.88671875" bestFit="1" customWidth="1"/>
    <col min="10" max="10" width="11.77734375" bestFit="1" customWidth="1"/>
    <col min="11" max="11" width="45.6640625" bestFit="1" customWidth="1"/>
    <col min="12" max="12" width="12.6640625" bestFit="1" customWidth="1"/>
  </cols>
  <sheetData>
    <row r="1" spans="1:12" x14ac:dyDescent="0.3">
      <c r="A1" s="2" t="s">
        <v>209</v>
      </c>
      <c r="B1" s="2" t="s">
        <v>9</v>
      </c>
      <c r="C1" s="2" t="s">
        <v>210</v>
      </c>
      <c r="D1" s="2" t="s">
        <v>211</v>
      </c>
      <c r="E1" s="2" t="s">
        <v>212</v>
      </c>
      <c r="F1" s="2" t="s">
        <v>213</v>
      </c>
      <c r="G1" s="2" t="s">
        <v>214</v>
      </c>
      <c r="H1" s="2" t="s">
        <v>215</v>
      </c>
      <c r="I1" s="2" t="s">
        <v>13</v>
      </c>
      <c r="J1" s="2" t="s">
        <v>216</v>
      </c>
      <c r="K1" s="2" t="s">
        <v>217</v>
      </c>
      <c r="L1" s="2" t="s">
        <v>218</v>
      </c>
    </row>
    <row r="2" spans="1:12" x14ac:dyDescent="0.3">
      <c r="A2">
        <v>1</v>
      </c>
      <c r="B2">
        <v>2115442641</v>
      </c>
      <c r="C2" t="s">
        <v>219</v>
      </c>
      <c r="D2" t="s">
        <v>19</v>
      </c>
      <c r="E2" t="s">
        <v>301</v>
      </c>
      <c r="F2" t="s">
        <v>318</v>
      </c>
      <c r="G2" t="s">
        <v>375</v>
      </c>
      <c r="H2" t="s">
        <v>84</v>
      </c>
      <c r="I2" t="s">
        <v>113</v>
      </c>
      <c r="J2" t="s">
        <v>402</v>
      </c>
      <c r="L2">
        <v>0</v>
      </c>
    </row>
    <row r="3" spans="1:12" x14ac:dyDescent="0.3">
      <c r="A3">
        <v>2</v>
      </c>
      <c r="B3">
        <v>2115442642</v>
      </c>
      <c r="C3" t="s">
        <v>220</v>
      </c>
      <c r="D3" t="s">
        <v>21</v>
      </c>
      <c r="F3" t="s">
        <v>319</v>
      </c>
      <c r="G3" t="s">
        <v>21</v>
      </c>
      <c r="H3" t="s">
        <v>319</v>
      </c>
      <c r="I3" t="s">
        <v>112</v>
      </c>
      <c r="J3" t="s">
        <v>402</v>
      </c>
      <c r="L3">
        <v>1</v>
      </c>
    </row>
    <row r="4" spans="1:12" x14ac:dyDescent="0.3">
      <c r="A4">
        <v>3</v>
      </c>
      <c r="B4">
        <v>2115442643</v>
      </c>
      <c r="C4" t="s">
        <v>221</v>
      </c>
      <c r="D4" t="s">
        <v>83</v>
      </c>
      <c r="F4" t="s">
        <v>320</v>
      </c>
      <c r="G4" t="s">
        <v>83</v>
      </c>
      <c r="H4" t="s">
        <v>320</v>
      </c>
      <c r="I4" t="s">
        <v>112</v>
      </c>
      <c r="J4" t="s">
        <v>402</v>
      </c>
      <c r="L4">
        <v>1</v>
      </c>
    </row>
    <row r="5" spans="1:12" x14ac:dyDescent="0.3">
      <c r="A5">
        <v>4</v>
      </c>
      <c r="B5">
        <v>2115442644</v>
      </c>
      <c r="C5" t="s">
        <v>222</v>
      </c>
      <c r="D5" t="s">
        <v>20</v>
      </c>
      <c r="F5" t="s">
        <v>321</v>
      </c>
      <c r="G5" t="s">
        <v>20</v>
      </c>
      <c r="H5" t="s">
        <v>321</v>
      </c>
      <c r="I5" t="s">
        <v>112</v>
      </c>
      <c r="J5" t="s">
        <v>402</v>
      </c>
      <c r="L5">
        <v>1</v>
      </c>
    </row>
    <row r="6" spans="1:12" x14ac:dyDescent="0.3">
      <c r="A6">
        <v>5</v>
      </c>
      <c r="B6">
        <v>2115442645</v>
      </c>
      <c r="C6" t="s">
        <v>223</v>
      </c>
      <c r="D6" t="s">
        <v>19</v>
      </c>
      <c r="G6" t="s">
        <v>376</v>
      </c>
      <c r="H6" t="s">
        <v>378</v>
      </c>
      <c r="I6" t="s">
        <v>112</v>
      </c>
      <c r="J6" t="s">
        <v>402</v>
      </c>
      <c r="L6">
        <v>1</v>
      </c>
    </row>
    <row r="7" spans="1:12" x14ac:dyDescent="0.3">
      <c r="A7">
        <v>6</v>
      </c>
      <c r="B7">
        <v>2115442646</v>
      </c>
      <c r="C7" t="s">
        <v>224</v>
      </c>
      <c r="D7" t="s">
        <v>21</v>
      </c>
      <c r="F7" t="s">
        <v>322</v>
      </c>
      <c r="G7" t="s">
        <v>21</v>
      </c>
      <c r="H7" t="s">
        <v>322</v>
      </c>
      <c r="I7" t="s">
        <v>111</v>
      </c>
      <c r="J7" t="s">
        <v>402</v>
      </c>
      <c r="K7" t="s">
        <v>407</v>
      </c>
      <c r="L7">
        <v>-0.33333333333333331</v>
      </c>
    </row>
    <row r="8" spans="1:12" x14ac:dyDescent="0.3">
      <c r="A8">
        <v>7</v>
      </c>
      <c r="B8">
        <v>2115442647</v>
      </c>
      <c r="C8" t="s">
        <v>225</v>
      </c>
      <c r="D8" t="s">
        <v>20</v>
      </c>
      <c r="F8" t="s">
        <v>323</v>
      </c>
      <c r="G8" t="s">
        <v>20</v>
      </c>
      <c r="H8" t="s">
        <v>323</v>
      </c>
      <c r="I8" t="s">
        <v>112</v>
      </c>
      <c r="J8" t="s">
        <v>402</v>
      </c>
      <c r="L8">
        <v>1</v>
      </c>
    </row>
    <row r="9" spans="1:12" x14ac:dyDescent="0.3">
      <c r="A9">
        <v>8</v>
      </c>
      <c r="B9">
        <v>2115442648</v>
      </c>
      <c r="C9" t="s">
        <v>226</v>
      </c>
      <c r="D9" t="s">
        <v>20</v>
      </c>
      <c r="E9" t="s">
        <v>302</v>
      </c>
      <c r="F9" t="s">
        <v>324</v>
      </c>
      <c r="G9" t="s">
        <v>19</v>
      </c>
      <c r="H9" t="s">
        <v>379</v>
      </c>
      <c r="I9" t="s">
        <v>111</v>
      </c>
      <c r="J9" t="s">
        <v>402</v>
      </c>
      <c r="K9" t="s">
        <v>408</v>
      </c>
      <c r="L9">
        <v>-0.33333333333333331</v>
      </c>
    </row>
    <row r="10" spans="1:12" x14ac:dyDescent="0.3">
      <c r="A10">
        <v>9</v>
      </c>
      <c r="B10">
        <v>2115442649</v>
      </c>
      <c r="C10" t="s">
        <v>227</v>
      </c>
      <c r="D10" t="s">
        <v>21</v>
      </c>
      <c r="F10" t="s">
        <v>325</v>
      </c>
      <c r="G10" t="s">
        <v>21</v>
      </c>
      <c r="H10" t="s">
        <v>325</v>
      </c>
      <c r="I10" t="s">
        <v>112</v>
      </c>
      <c r="J10" t="s">
        <v>402</v>
      </c>
      <c r="L10">
        <v>1</v>
      </c>
    </row>
    <row r="11" spans="1:12" x14ac:dyDescent="0.3">
      <c r="A11">
        <v>10</v>
      </c>
      <c r="B11">
        <v>2115442650</v>
      </c>
      <c r="C11" t="s">
        <v>228</v>
      </c>
      <c r="D11" t="s">
        <v>83</v>
      </c>
      <c r="F11" t="s">
        <v>326</v>
      </c>
      <c r="G11" t="s">
        <v>83</v>
      </c>
      <c r="H11" t="s">
        <v>326</v>
      </c>
      <c r="I11" t="s">
        <v>111</v>
      </c>
      <c r="J11" t="s">
        <v>402</v>
      </c>
      <c r="K11" t="s">
        <v>409</v>
      </c>
      <c r="L11">
        <v>-0.33333333333333331</v>
      </c>
    </row>
    <row r="12" spans="1:12" x14ac:dyDescent="0.3">
      <c r="A12">
        <v>11</v>
      </c>
      <c r="B12">
        <v>2115442651</v>
      </c>
      <c r="C12" t="s">
        <v>229</v>
      </c>
      <c r="D12" t="s">
        <v>21</v>
      </c>
      <c r="F12" t="s">
        <v>327</v>
      </c>
      <c r="G12" t="s">
        <v>21</v>
      </c>
      <c r="H12" t="s">
        <v>327</v>
      </c>
      <c r="I12" t="s">
        <v>112</v>
      </c>
      <c r="J12" t="s">
        <v>403</v>
      </c>
      <c r="L12">
        <v>2</v>
      </c>
    </row>
    <row r="13" spans="1:12" x14ac:dyDescent="0.3">
      <c r="A13">
        <v>12</v>
      </c>
      <c r="B13">
        <v>2115442652</v>
      </c>
      <c r="C13" t="s">
        <v>230</v>
      </c>
      <c r="D13" t="s">
        <v>21</v>
      </c>
      <c r="E13" t="s">
        <v>303</v>
      </c>
      <c r="F13" t="s">
        <v>328</v>
      </c>
      <c r="G13" t="s">
        <v>19</v>
      </c>
      <c r="H13" t="s">
        <v>380</v>
      </c>
      <c r="I13" t="s">
        <v>111</v>
      </c>
      <c r="J13" t="s">
        <v>403</v>
      </c>
      <c r="K13" t="s">
        <v>410</v>
      </c>
      <c r="L13">
        <v>-0.66666666666666663</v>
      </c>
    </row>
    <row r="14" spans="1:12" x14ac:dyDescent="0.3">
      <c r="A14">
        <v>13</v>
      </c>
      <c r="B14">
        <v>2115442653</v>
      </c>
      <c r="C14" t="s">
        <v>231</v>
      </c>
      <c r="D14" t="s">
        <v>19</v>
      </c>
      <c r="E14" t="s">
        <v>304</v>
      </c>
      <c r="F14" t="s">
        <v>329</v>
      </c>
      <c r="G14" t="s">
        <v>20</v>
      </c>
      <c r="H14" t="s">
        <v>381</v>
      </c>
      <c r="I14" t="s">
        <v>111</v>
      </c>
      <c r="J14" t="s">
        <v>403</v>
      </c>
      <c r="K14" t="s">
        <v>411</v>
      </c>
      <c r="L14">
        <v>-0.66666666666666663</v>
      </c>
    </row>
    <row r="15" spans="1:12" x14ac:dyDescent="0.3">
      <c r="A15">
        <v>14</v>
      </c>
      <c r="B15">
        <v>2115442654</v>
      </c>
      <c r="C15" t="s">
        <v>232</v>
      </c>
      <c r="D15" t="s">
        <v>83</v>
      </c>
      <c r="F15" t="s">
        <v>330</v>
      </c>
      <c r="G15" t="s">
        <v>83</v>
      </c>
      <c r="H15" t="s">
        <v>330</v>
      </c>
      <c r="I15" t="s">
        <v>112</v>
      </c>
      <c r="J15" t="s">
        <v>403</v>
      </c>
      <c r="L15">
        <v>2</v>
      </c>
    </row>
    <row r="16" spans="1:12" x14ac:dyDescent="0.3">
      <c r="A16">
        <v>15</v>
      </c>
      <c r="B16">
        <v>2115442655</v>
      </c>
      <c r="C16" t="s">
        <v>233</v>
      </c>
      <c r="D16" t="s">
        <v>83</v>
      </c>
      <c r="E16" t="s">
        <v>305</v>
      </c>
      <c r="F16" t="s">
        <v>331</v>
      </c>
      <c r="G16" t="s">
        <v>375</v>
      </c>
      <c r="H16" t="s">
        <v>84</v>
      </c>
      <c r="I16" t="s">
        <v>113</v>
      </c>
      <c r="J16" t="s">
        <v>403</v>
      </c>
      <c r="L16">
        <v>0</v>
      </c>
    </row>
    <row r="17" spans="1:12" x14ac:dyDescent="0.3">
      <c r="A17">
        <v>16</v>
      </c>
      <c r="B17">
        <v>2115442656</v>
      </c>
      <c r="C17" t="s">
        <v>234</v>
      </c>
      <c r="D17" t="s">
        <v>20</v>
      </c>
      <c r="E17" t="s">
        <v>306</v>
      </c>
      <c r="F17" t="s">
        <v>332</v>
      </c>
      <c r="G17" t="s">
        <v>375</v>
      </c>
      <c r="H17" t="s">
        <v>84</v>
      </c>
      <c r="I17" t="s">
        <v>113</v>
      </c>
      <c r="J17" t="s">
        <v>403</v>
      </c>
      <c r="L17">
        <v>0</v>
      </c>
    </row>
    <row r="18" spans="1:12" x14ac:dyDescent="0.3">
      <c r="A18">
        <v>17</v>
      </c>
      <c r="B18">
        <v>2115442657</v>
      </c>
      <c r="C18" t="s">
        <v>235</v>
      </c>
      <c r="D18" t="s">
        <v>21</v>
      </c>
      <c r="F18" t="s">
        <v>333</v>
      </c>
      <c r="G18" t="s">
        <v>21</v>
      </c>
      <c r="H18" t="s">
        <v>333</v>
      </c>
      <c r="I18" t="s">
        <v>112</v>
      </c>
      <c r="J18" t="s">
        <v>403</v>
      </c>
      <c r="L18">
        <v>2</v>
      </c>
    </row>
    <row r="19" spans="1:12" x14ac:dyDescent="0.3">
      <c r="A19">
        <v>18</v>
      </c>
      <c r="B19">
        <v>2115442658</v>
      </c>
      <c r="C19" t="s">
        <v>236</v>
      </c>
      <c r="D19" t="s">
        <v>19</v>
      </c>
      <c r="F19" t="s">
        <v>334</v>
      </c>
      <c r="G19" t="s">
        <v>21</v>
      </c>
      <c r="H19" t="s">
        <v>382</v>
      </c>
      <c r="I19" t="s">
        <v>111</v>
      </c>
      <c r="J19" t="s">
        <v>403</v>
      </c>
      <c r="K19" t="s">
        <v>412</v>
      </c>
      <c r="L19">
        <v>-0.66666666666666663</v>
      </c>
    </row>
    <row r="20" spans="1:12" x14ac:dyDescent="0.3">
      <c r="A20">
        <v>19</v>
      </c>
      <c r="B20">
        <v>2115442659</v>
      </c>
      <c r="C20" t="s">
        <v>237</v>
      </c>
      <c r="D20" t="s">
        <v>83</v>
      </c>
      <c r="F20" t="s">
        <v>335</v>
      </c>
      <c r="G20" t="s">
        <v>83</v>
      </c>
      <c r="H20" t="s">
        <v>335</v>
      </c>
      <c r="I20" t="s">
        <v>112</v>
      </c>
      <c r="J20" t="s">
        <v>403</v>
      </c>
      <c r="L20">
        <v>2</v>
      </c>
    </row>
    <row r="21" spans="1:12" x14ac:dyDescent="0.3">
      <c r="A21">
        <v>20</v>
      </c>
      <c r="B21">
        <v>2115442660</v>
      </c>
      <c r="C21" t="s">
        <v>238</v>
      </c>
      <c r="D21" t="s">
        <v>19</v>
      </c>
      <c r="E21" t="s">
        <v>307</v>
      </c>
      <c r="F21" t="s">
        <v>336</v>
      </c>
      <c r="G21" t="s">
        <v>19</v>
      </c>
      <c r="H21" t="s">
        <v>336</v>
      </c>
      <c r="I21" t="s">
        <v>112</v>
      </c>
      <c r="J21" t="s">
        <v>403</v>
      </c>
      <c r="L21">
        <v>2</v>
      </c>
    </row>
    <row r="22" spans="1:12" x14ac:dyDescent="0.3">
      <c r="A22">
        <v>21</v>
      </c>
      <c r="B22">
        <v>2115442661</v>
      </c>
      <c r="C22" t="s">
        <v>239</v>
      </c>
      <c r="D22" t="s">
        <v>21</v>
      </c>
      <c r="F22" t="s">
        <v>337</v>
      </c>
      <c r="G22" t="s">
        <v>83</v>
      </c>
      <c r="H22" t="s">
        <v>383</v>
      </c>
      <c r="I22" t="s">
        <v>111</v>
      </c>
      <c r="J22" t="s">
        <v>403</v>
      </c>
      <c r="K22" t="s">
        <v>413</v>
      </c>
      <c r="L22">
        <v>-0.66666666666666663</v>
      </c>
    </row>
    <row r="23" spans="1:12" x14ac:dyDescent="0.3">
      <c r="A23">
        <v>22</v>
      </c>
      <c r="B23">
        <v>2115442662</v>
      </c>
      <c r="C23" t="s">
        <v>240</v>
      </c>
      <c r="D23" t="s">
        <v>83</v>
      </c>
      <c r="F23" t="s">
        <v>338</v>
      </c>
      <c r="G23" t="s">
        <v>83</v>
      </c>
      <c r="H23" t="s">
        <v>338</v>
      </c>
      <c r="I23" t="s">
        <v>112</v>
      </c>
      <c r="J23" t="s">
        <v>403</v>
      </c>
      <c r="L23">
        <v>2</v>
      </c>
    </row>
    <row r="24" spans="1:12" x14ac:dyDescent="0.3">
      <c r="A24">
        <v>23</v>
      </c>
      <c r="B24">
        <v>2115442663</v>
      </c>
      <c r="C24" t="s">
        <v>241</v>
      </c>
      <c r="D24" t="s">
        <v>21</v>
      </c>
      <c r="F24" t="s">
        <v>339</v>
      </c>
      <c r="G24" t="s">
        <v>21</v>
      </c>
      <c r="H24" t="s">
        <v>339</v>
      </c>
      <c r="I24" t="s">
        <v>112</v>
      </c>
      <c r="J24" t="s">
        <v>403</v>
      </c>
      <c r="L24">
        <v>2</v>
      </c>
    </row>
    <row r="25" spans="1:12" x14ac:dyDescent="0.3">
      <c r="A25">
        <v>24</v>
      </c>
      <c r="B25">
        <v>2115442664</v>
      </c>
      <c r="C25" t="s">
        <v>242</v>
      </c>
      <c r="D25" t="s">
        <v>19</v>
      </c>
      <c r="F25" t="s">
        <v>340</v>
      </c>
      <c r="G25" t="s">
        <v>19</v>
      </c>
      <c r="H25" t="s">
        <v>340</v>
      </c>
      <c r="I25" t="s">
        <v>112</v>
      </c>
      <c r="J25" t="s">
        <v>403</v>
      </c>
      <c r="L25">
        <v>2</v>
      </c>
    </row>
    <row r="26" spans="1:12" x14ac:dyDescent="0.3">
      <c r="A26">
        <v>25</v>
      </c>
      <c r="B26">
        <v>2115442665</v>
      </c>
      <c r="C26" t="s">
        <v>243</v>
      </c>
      <c r="D26" t="s">
        <v>20</v>
      </c>
      <c r="F26" t="s">
        <v>341</v>
      </c>
      <c r="G26" t="s">
        <v>20</v>
      </c>
      <c r="H26" t="s">
        <v>341</v>
      </c>
      <c r="I26" t="s">
        <v>112</v>
      </c>
      <c r="J26" t="s">
        <v>403</v>
      </c>
      <c r="L26">
        <v>2</v>
      </c>
    </row>
    <row r="27" spans="1:12" x14ac:dyDescent="0.3">
      <c r="A27">
        <v>26</v>
      </c>
      <c r="B27">
        <v>2115442666</v>
      </c>
      <c r="C27" t="s">
        <v>244</v>
      </c>
      <c r="D27" t="s">
        <v>20</v>
      </c>
      <c r="E27" t="s">
        <v>308</v>
      </c>
      <c r="F27" t="s">
        <v>342</v>
      </c>
      <c r="G27" t="s">
        <v>83</v>
      </c>
      <c r="H27" t="s">
        <v>384</v>
      </c>
      <c r="I27" t="s">
        <v>111</v>
      </c>
      <c r="J27" t="s">
        <v>403</v>
      </c>
      <c r="K27" t="s">
        <v>414</v>
      </c>
      <c r="L27">
        <v>-0.66666666666666663</v>
      </c>
    </row>
    <row r="28" spans="1:12" x14ac:dyDescent="0.3">
      <c r="A28">
        <v>27</v>
      </c>
      <c r="B28">
        <v>2115442667</v>
      </c>
      <c r="C28" t="s">
        <v>245</v>
      </c>
      <c r="D28" t="s">
        <v>21</v>
      </c>
      <c r="F28" t="s">
        <v>343</v>
      </c>
      <c r="G28" t="s">
        <v>21</v>
      </c>
      <c r="H28" t="s">
        <v>343</v>
      </c>
      <c r="I28" t="s">
        <v>112</v>
      </c>
      <c r="J28" t="s">
        <v>403</v>
      </c>
      <c r="L28">
        <v>2</v>
      </c>
    </row>
    <row r="29" spans="1:12" x14ac:dyDescent="0.3">
      <c r="A29">
        <v>28</v>
      </c>
      <c r="B29">
        <v>2115442668</v>
      </c>
      <c r="C29" t="s">
        <v>246</v>
      </c>
      <c r="D29" t="s">
        <v>20</v>
      </c>
      <c r="F29" t="s">
        <v>344</v>
      </c>
      <c r="G29" t="s">
        <v>20</v>
      </c>
      <c r="H29" t="s">
        <v>344</v>
      </c>
      <c r="I29" t="s">
        <v>112</v>
      </c>
      <c r="J29" t="s">
        <v>403</v>
      </c>
      <c r="L29">
        <v>2</v>
      </c>
    </row>
    <row r="30" spans="1:12" x14ac:dyDescent="0.3">
      <c r="A30">
        <v>29</v>
      </c>
      <c r="B30">
        <v>2115442669</v>
      </c>
      <c r="C30" t="s">
        <v>247</v>
      </c>
      <c r="D30" t="s">
        <v>83</v>
      </c>
      <c r="F30" t="s">
        <v>345</v>
      </c>
      <c r="G30" t="s">
        <v>83</v>
      </c>
      <c r="H30" t="s">
        <v>345</v>
      </c>
      <c r="I30" t="s">
        <v>112</v>
      </c>
      <c r="J30" t="s">
        <v>403</v>
      </c>
      <c r="L30">
        <v>2</v>
      </c>
    </row>
    <row r="31" spans="1:12" x14ac:dyDescent="0.3">
      <c r="A31">
        <v>30</v>
      </c>
      <c r="B31">
        <v>2115442670</v>
      </c>
      <c r="C31" t="s">
        <v>248</v>
      </c>
      <c r="D31" t="s">
        <v>19</v>
      </c>
      <c r="F31" t="s">
        <v>346</v>
      </c>
      <c r="G31" t="s">
        <v>19</v>
      </c>
      <c r="H31" t="s">
        <v>346</v>
      </c>
      <c r="I31" t="s">
        <v>112</v>
      </c>
      <c r="J31" t="s">
        <v>403</v>
      </c>
      <c r="L31">
        <v>2</v>
      </c>
    </row>
    <row r="32" spans="1:12" x14ac:dyDescent="0.3">
      <c r="A32">
        <v>31</v>
      </c>
      <c r="B32">
        <v>2115442671</v>
      </c>
      <c r="C32" t="s">
        <v>249</v>
      </c>
      <c r="D32" t="s">
        <v>279</v>
      </c>
      <c r="F32" t="s">
        <v>347</v>
      </c>
      <c r="G32" t="s">
        <v>279</v>
      </c>
      <c r="H32" t="s">
        <v>385</v>
      </c>
      <c r="I32" t="s">
        <v>112</v>
      </c>
      <c r="J32" t="s">
        <v>404</v>
      </c>
      <c r="K32" t="s">
        <v>415</v>
      </c>
      <c r="L32">
        <v>2</v>
      </c>
    </row>
    <row r="33" spans="1:12" x14ac:dyDescent="0.3">
      <c r="A33">
        <v>32</v>
      </c>
      <c r="B33">
        <v>2115442672</v>
      </c>
      <c r="C33" t="s">
        <v>250</v>
      </c>
      <c r="D33" t="s">
        <v>21</v>
      </c>
      <c r="E33" t="s">
        <v>309</v>
      </c>
      <c r="F33" t="s">
        <v>348</v>
      </c>
      <c r="G33" t="s">
        <v>377</v>
      </c>
      <c r="H33" t="s">
        <v>386</v>
      </c>
      <c r="I33" t="s">
        <v>111</v>
      </c>
      <c r="J33" t="s">
        <v>404</v>
      </c>
      <c r="K33" t="s">
        <v>416</v>
      </c>
      <c r="L33">
        <v>0</v>
      </c>
    </row>
    <row r="34" spans="1:12" x14ac:dyDescent="0.3">
      <c r="A34">
        <v>33</v>
      </c>
      <c r="B34">
        <v>2115442673</v>
      </c>
      <c r="C34" t="s">
        <v>251</v>
      </c>
      <c r="D34" t="s">
        <v>280</v>
      </c>
      <c r="F34" t="s">
        <v>349</v>
      </c>
      <c r="G34" t="s">
        <v>280</v>
      </c>
      <c r="H34" t="s">
        <v>387</v>
      </c>
      <c r="I34" t="s">
        <v>112</v>
      </c>
      <c r="J34" t="s">
        <v>404</v>
      </c>
      <c r="L34">
        <v>2</v>
      </c>
    </row>
    <row r="35" spans="1:12" x14ac:dyDescent="0.3">
      <c r="A35">
        <v>34</v>
      </c>
      <c r="B35">
        <v>2115442674</v>
      </c>
      <c r="C35" t="s">
        <v>252</v>
      </c>
      <c r="D35" t="s">
        <v>20</v>
      </c>
      <c r="F35" t="s">
        <v>350</v>
      </c>
      <c r="G35" t="s">
        <v>20</v>
      </c>
      <c r="H35" t="s">
        <v>350</v>
      </c>
      <c r="I35" t="s">
        <v>112</v>
      </c>
      <c r="J35" t="s">
        <v>404</v>
      </c>
      <c r="L35">
        <v>2</v>
      </c>
    </row>
    <row r="36" spans="1:12" x14ac:dyDescent="0.3">
      <c r="A36">
        <v>35</v>
      </c>
      <c r="B36">
        <v>2115442675</v>
      </c>
      <c r="C36" t="s">
        <v>253</v>
      </c>
      <c r="D36" t="s">
        <v>280</v>
      </c>
      <c r="F36" t="s">
        <v>351</v>
      </c>
      <c r="G36" t="s">
        <v>280</v>
      </c>
      <c r="H36" t="s">
        <v>387</v>
      </c>
      <c r="I36" t="s">
        <v>112</v>
      </c>
      <c r="J36" t="s">
        <v>404</v>
      </c>
      <c r="L36">
        <v>2</v>
      </c>
    </row>
    <row r="37" spans="1:12" x14ac:dyDescent="0.3">
      <c r="A37">
        <v>36</v>
      </c>
      <c r="B37">
        <v>2115442676</v>
      </c>
      <c r="C37" t="s">
        <v>254</v>
      </c>
      <c r="D37" t="s">
        <v>281</v>
      </c>
      <c r="E37" t="s">
        <v>310</v>
      </c>
      <c r="F37" t="s">
        <v>352</v>
      </c>
      <c r="G37" t="s">
        <v>281</v>
      </c>
      <c r="H37" t="s">
        <v>388</v>
      </c>
      <c r="I37" t="s">
        <v>112</v>
      </c>
      <c r="J37" t="s">
        <v>404</v>
      </c>
      <c r="L37">
        <v>2</v>
      </c>
    </row>
    <row r="38" spans="1:12" x14ac:dyDescent="0.3">
      <c r="A38">
        <v>37</v>
      </c>
      <c r="B38">
        <v>2115442677</v>
      </c>
      <c r="C38" t="s">
        <v>255</v>
      </c>
      <c r="D38" t="s">
        <v>282</v>
      </c>
      <c r="F38" t="s">
        <v>353</v>
      </c>
      <c r="G38" t="s">
        <v>282</v>
      </c>
      <c r="H38" t="s">
        <v>387</v>
      </c>
      <c r="I38" t="s">
        <v>112</v>
      </c>
      <c r="J38" t="s">
        <v>404</v>
      </c>
      <c r="L38">
        <v>2</v>
      </c>
    </row>
    <row r="39" spans="1:12" x14ac:dyDescent="0.3">
      <c r="A39">
        <v>38</v>
      </c>
      <c r="B39">
        <v>2115442678</v>
      </c>
      <c r="C39" t="s">
        <v>256</v>
      </c>
      <c r="D39" t="s">
        <v>281</v>
      </c>
      <c r="E39" t="s">
        <v>311</v>
      </c>
      <c r="F39" t="s">
        <v>354</v>
      </c>
      <c r="G39" t="s">
        <v>281</v>
      </c>
      <c r="H39" t="s">
        <v>388</v>
      </c>
      <c r="I39" t="s">
        <v>112</v>
      </c>
      <c r="J39" t="s">
        <v>404</v>
      </c>
      <c r="L39">
        <v>2</v>
      </c>
    </row>
    <row r="40" spans="1:12" x14ac:dyDescent="0.3">
      <c r="A40">
        <v>39</v>
      </c>
      <c r="B40">
        <v>2115442679</v>
      </c>
      <c r="C40" t="s">
        <v>257</v>
      </c>
      <c r="D40" t="s">
        <v>280</v>
      </c>
      <c r="E40" t="s">
        <v>312</v>
      </c>
      <c r="F40" t="s">
        <v>355</v>
      </c>
      <c r="G40" t="s">
        <v>375</v>
      </c>
      <c r="H40" t="s">
        <v>389</v>
      </c>
      <c r="I40" t="s">
        <v>111</v>
      </c>
      <c r="J40" t="s">
        <v>404</v>
      </c>
      <c r="K40" t="s">
        <v>417</v>
      </c>
      <c r="L40">
        <v>0</v>
      </c>
    </row>
    <row r="41" spans="1:12" x14ac:dyDescent="0.3">
      <c r="A41">
        <v>40</v>
      </c>
      <c r="B41">
        <v>2115442680</v>
      </c>
      <c r="C41" t="s">
        <v>258</v>
      </c>
      <c r="D41" t="s">
        <v>281</v>
      </c>
      <c r="F41" t="s">
        <v>356</v>
      </c>
      <c r="G41" t="s">
        <v>281</v>
      </c>
      <c r="H41" t="s">
        <v>390</v>
      </c>
      <c r="I41" t="s">
        <v>112</v>
      </c>
      <c r="J41" t="s">
        <v>404</v>
      </c>
      <c r="L41">
        <v>2</v>
      </c>
    </row>
    <row r="42" spans="1:12" x14ac:dyDescent="0.3">
      <c r="A42">
        <v>41</v>
      </c>
      <c r="B42">
        <v>2115442681</v>
      </c>
      <c r="C42" t="s">
        <v>259</v>
      </c>
      <c r="D42" t="s">
        <v>283</v>
      </c>
      <c r="F42" t="s">
        <v>357</v>
      </c>
      <c r="G42" t="s">
        <v>375</v>
      </c>
      <c r="H42" t="s">
        <v>36</v>
      </c>
      <c r="I42" t="s">
        <v>112</v>
      </c>
      <c r="J42" t="s">
        <v>405</v>
      </c>
      <c r="L42">
        <v>1</v>
      </c>
    </row>
    <row r="43" spans="1:12" x14ac:dyDescent="0.3">
      <c r="A43">
        <v>42</v>
      </c>
      <c r="B43">
        <v>2115442682</v>
      </c>
      <c r="C43" t="s">
        <v>260</v>
      </c>
      <c r="D43" t="s">
        <v>284</v>
      </c>
      <c r="F43" t="s">
        <v>358</v>
      </c>
      <c r="G43" t="s">
        <v>375</v>
      </c>
      <c r="H43" t="s">
        <v>391</v>
      </c>
      <c r="I43" t="s">
        <v>112</v>
      </c>
      <c r="J43" t="s">
        <v>405</v>
      </c>
      <c r="L43">
        <v>1</v>
      </c>
    </row>
    <row r="44" spans="1:12" x14ac:dyDescent="0.3">
      <c r="A44">
        <v>43</v>
      </c>
      <c r="B44">
        <v>2115442683</v>
      </c>
      <c r="C44" t="s">
        <v>261</v>
      </c>
      <c r="D44" t="s">
        <v>285</v>
      </c>
      <c r="E44" t="s">
        <v>313</v>
      </c>
      <c r="F44" t="s">
        <v>359</v>
      </c>
      <c r="G44" t="s">
        <v>375</v>
      </c>
      <c r="H44" t="s">
        <v>392</v>
      </c>
      <c r="I44" t="s">
        <v>111</v>
      </c>
      <c r="J44" t="s">
        <v>405</v>
      </c>
      <c r="K44" t="s">
        <v>418</v>
      </c>
      <c r="L44">
        <v>0</v>
      </c>
    </row>
    <row r="45" spans="1:12" x14ac:dyDescent="0.3">
      <c r="A45">
        <v>44</v>
      </c>
      <c r="B45">
        <v>2115442684</v>
      </c>
      <c r="C45" t="s">
        <v>262</v>
      </c>
      <c r="D45" t="s">
        <v>286</v>
      </c>
      <c r="E45" t="s">
        <v>313</v>
      </c>
      <c r="F45" t="s">
        <v>360</v>
      </c>
      <c r="G45" t="s">
        <v>375</v>
      </c>
      <c r="H45" t="s">
        <v>189</v>
      </c>
      <c r="I45" t="s">
        <v>111</v>
      </c>
      <c r="J45" t="s">
        <v>405</v>
      </c>
      <c r="K45" t="s">
        <v>419</v>
      </c>
      <c r="L45">
        <v>0</v>
      </c>
    </row>
    <row r="46" spans="1:12" x14ac:dyDescent="0.3">
      <c r="A46">
        <v>45</v>
      </c>
      <c r="B46">
        <v>2115442685</v>
      </c>
      <c r="C46" t="s">
        <v>263</v>
      </c>
      <c r="D46" t="s">
        <v>287</v>
      </c>
      <c r="F46" t="s">
        <v>361</v>
      </c>
      <c r="G46" t="s">
        <v>375</v>
      </c>
      <c r="H46" t="s">
        <v>24</v>
      </c>
      <c r="I46" t="s">
        <v>112</v>
      </c>
      <c r="J46" t="s">
        <v>405</v>
      </c>
      <c r="L46">
        <v>1</v>
      </c>
    </row>
    <row r="47" spans="1:12" x14ac:dyDescent="0.3">
      <c r="A47">
        <v>46</v>
      </c>
      <c r="B47">
        <v>2115442686</v>
      </c>
      <c r="C47" t="s">
        <v>264</v>
      </c>
      <c r="D47" t="s">
        <v>288</v>
      </c>
      <c r="F47" t="s">
        <v>362</v>
      </c>
      <c r="G47" t="s">
        <v>375</v>
      </c>
      <c r="H47" t="s">
        <v>393</v>
      </c>
      <c r="I47" t="s">
        <v>112</v>
      </c>
      <c r="J47" t="s">
        <v>405</v>
      </c>
      <c r="L47">
        <v>1</v>
      </c>
    </row>
    <row r="48" spans="1:12" x14ac:dyDescent="0.3">
      <c r="A48">
        <v>47</v>
      </c>
      <c r="B48">
        <v>2115442687</v>
      </c>
      <c r="C48" t="s">
        <v>265</v>
      </c>
      <c r="D48" t="s">
        <v>289</v>
      </c>
      <c r="E48" t="s">
        <v>314</v>
      </c>
      <c r="F48" t="s">
        <v>363</v>
      </c>
      <c r="G48" t="s">
        <v>375</v>
      </c>
      <c r="H48" t="s">
        <v>37</v>
      </c>
      <c r="I48" t="s">
        <v>111</v>
      </c>
      <c r="J48" t="s">
        <v>405</v>
      </c>
      <c r="K48" t="s">
        <v>420</v>
      </c>
      <c r="L48">
        <v>0</v>
      </c>
    </row>
    <row r="49" spans="1:12" x14ac:dyDescent="0.3">
      <c r="A49">
        <v>48</v>
      </c>
      <c r="B49">
        <v>2115442688</v>
      </c>
      <c r="C49" t="s">
        <v>266</v>
      </c>
      <c r="D49" t="s">
        <v>290</v>
      </c>
      <c r="F49" t="s">
        <v>364</v>
      </c>
      <c r="G49" t="s">
        <v>375</v>
      </c>
      <c r="H49" t="s">
        <v>394</v>
      </c>
      <c r="I49" t="s">
        <v>112</v>
      </c>
      <c r="J49" t="s">
        <v>405</v>
      </c>
      <c r="L49">
        <v>1</v>
      </c>
    </row>
    <row r="50" spans="1:12" x14ac:dyDescent="0.3">
      <c r="A50">
        <v>49</v>
      </c>
      <c r="B50">
        <v>2115442689</v>
      </c>
      <c r="C50" t="s">
        <v>267</v>
      </c>
      <c r="D50" t="s">
        <v>291</v>
      </c>
      <c r="F50" t="s">
        <v>365</v>
      </c>
      <c r="G50" t="s">
        <v>375</v>
      </c>
      <c r="H50" t="s">
        <v>23</v>
      </c>
      <c r="I50" t="s">
        <v>112</v>
      </c>
      <c r="J50" t="s">
        <v>405</v>
      </c>
      <c r="L50">
        <v>1</v>
      </c>
    </row>
    <row r="51" spans="1:12" x14ac:dyDescent="0.3">
      <c r="A51">
        <v>50</v>
      </c>
      <c r="B51">
        <v>2115442690</v>
      </c>
      <c r="C51" t="s">
        <v>268</v>
      </c>
      <c r="D51" t="s">
        <v>292</v>
      </c>
      <c r="F51" t="s">
        <v>366</v>
      </c>
      <c r="G51" t="s">
        <v>375</v>
      </c>
      <c r="H51" t="s">
        <v>395</v>
      </c>
      <c r="I51" t="s">
        <v>112</v>
      </c>
      <c r="J51" t="s">
        <v>405</v>
      </c>
      <c r="L51">
        <v>1</v>
      </c>
    </row>
    <row r="52" spans="1:12" x14ac:dyDescent="0.3">
      <c r="A52">
        <v>51</v>
      </c>
      <c r="B52">
        <v>2115442691</v>
      </c>
      <c r="C52" t="s">
        <v>269</v>
      </c>
      <c r="D52" t="s">
        <v>291</v>
      </c>
      <c r="F52" t="s">
        <v>365</v>
      </c>
      <c r="G52" t="s">
        <v>375</v>
      </c>
      <c r="H52" t="s">
        <v>23</v>
      </c>
      <c r="I52" t="s">
        <v>112</v>
      </c>
      <c r="J52" t="s">
        <v>406</v>
      </c>
      <c r="L52">
        <v>2</v>
      </c>
    </row>
    <row r="53" spans="1:12" x14ac:dyDescent="0.3">
      <c r="A53">
        <v>52</v>
      </c>
      <c r="B53">
        <v>2115442692</v>
      </c>
      <c r="C53" t="s">
        <v>270</v>
      </c>
      <c r="D53" t="s">
        <v>293</v>
      </c>
      <c r="E53" t="s">
        <v>315</v>
      </c>
      <c r="F53" t="s">
        <v>367</v>
      </c>
      <c r="G53" t="s">
        <v>375</v>
      </c>
      <c r="H53" t="s">
        <v>396</v>
      </c>
      <c r="I53" t="s">
        <v>111</v>
      </c>
      <c r="J53" t="s">
        <v>406</v>
      </c>
      <c r="K53" t="s">
        <v>421</v>
      </c>
      <c r="L53">
        <v>0</v>
      </c>
    </row>
    <row r="54" spans="1:12" x14ac:dyDescent="0.3">
      <c r="A54">
        <v>53</v>
      </c>
      <c r="B54">
        <v>2115442693</v>
      </c>
      <c r="C54" t="s">
        <v>271</v>
      </c>
      <c r="D54" t="s">
        <v>289</v>
      </c>
      <c r="F54" t="s">
        <v>363</v>
      </c>
      <c r="G54" t="s">
        <v>375</v>
      </c>
      <c r="H54" t="s">
        <v>41</v>
      </c>
      <c r="I54" t="s">
        <v>112</v>
      </c>
      <c r="J54" t="s">
        <v>406</v>
      </c>
      <c r="L54">
        <v>2</v>
      </c>
    </row>
    <row r="55" spans="1:12" x14ac:dyDescent="0.3">
      <c r="A55">
        <v>54</v>
      </c>
      <c r="B55">
        <v>2115442694</v>
      </c>
      <c r="C55" t="s">
        <v>272</v>
      </c>
      <c r="D55" t="s">
        <v>294</v>
      </c>
      <c r="F55" t="s">
        <v>368</v>
      </c>
      <c r="G55" t="s">
        <v>375</v>
      </c>
      <c r="H55" t="s">
        <v>397</v>
      </c>
      <c r="I55" t="s">
        <v>112</v>
      </c>
      <c r="J55" t="s">
        <v>406</v>
      </c>
      <c r="L55">
        <v>2</v>
      </c>
    </row>
    <row r="56" spans="1:12" x14ac:dyDescent="0.3">
      <c r="A56">
        <v>55</v>
      </c>
      <c r="B56">
        <v>2115442695</v>
      </c>
      <c r="C56" t="s">
        <v>273</v>
      </c>
      <c r="D56" t="s">
        <v>295</v>
      </c>
      <c r="F56" t="s">
        <v>369</v>
      </c>
      <c r="G56" t="s">
        <v>375</v>
      </c>
      <c r="H56" t="s">
        <v>398</v>
      </c>
      <c r="I56" t="s">
        <v>112</v>
      </c>
      <c r="J56" t="s">
        <v>406</v>
      </c>
      <c r="L56">
        <v>2</v>
      </c>
    </row>
    <row r="57" spans="1:12" x14ac:dyDescent="0.3">
      <c r="A57">
        <v>56</v>
      </c>
      <c r="B57">
        <v>2115442696</v>
      </c>
      <c r="C57" t="s">
        <v>274</v>
      </c>
      <c r="D57" t="s">
        <v>296</v>
      </c>
      <c r="E57" t="s">
        <v>316</v>
      </c>
      <c r="F57" t="s">
        <v>370</v>
      </c>
      <c r="G57" t="s">
        <v>375</v>
      </c>
      <c r="H57" t="s">
        <v>399</v>
      </c>
      <c r="I57" t="s">
        <v>111</v>
      </c>
      <c r="J57" t="s">
        <v>406</v>
      </c>
      <c r="K57" t="s">
        <v>422</v>
      </c>
      <c r="L57">
        <v>0</v>
      </c>
    </row>
    <row r="58" spans="1:12" x14ac:dyDescent="0.3">
      <c r="A58">
        <v>57</v>
      </c>
      <c r="B58">
        <v>2115442697</v>
      </c>
      <c r="C58" t="s">
        <v>275</v>
      </c>
      <c r="D58" t="s">
        <v>297</v>
      </c>
      <c r="F58" t="s">
        <v>371</v>
      </c>
      <c r="G58" t="s">
        <v>375</v>
      </c>
      <c r="H58" t="s">
        <v>400</v>
      </c>
      <c r="I58" t="s">
        <v>112</v>
      </c>
      <c r="J58" t="s">
        <v>406</v>
      </c>
      <c r="L58">
        <v>2</v>
      </c>
    </row>
    <row r="59" spans="1:12" x14ac:dyDescent="0.3">
      <c r="A59">
        <v>58</v>
      </c>
      <c r="B59">
        <v>2115442698</v>
      </c>
      <c r="C59" t="s">
        <v>276</v>
      </c>
      <c r="D59" t="s">
        <v>298</v>
      </c>
      <c r="F59" t="s">
        <v>372</v>
      </c>
      <c r="G59" t="s">
        <v>375</v>
      </c>
      <c r="H59" t="s">
        <v>401</v>
      </c>
      <c r="I59" t="s">
        <v>112</v>
      </c>
      <c r="J59" t="s">
        <v>406</v>
      </c>
      <c r="L59">
        <v>2</v>
      </c>
    </row>
    <row r="60" spans="1:12" x14ac:dyDescent="0.3">
      <c r="A60">
        <v>59</v>
      </c>
      <c r="B60">
        <v>2115442699</v>
      </c>
      <c r="C60" t="s">
        <v>277</v>
      </c>
      <c r="D60" t="s">
        <v>299</v>
      </c>
      <c r="F60" t="s">
        <v>373</v>
      </c>
      <c r="G60" t="s">
        <v>375</v>
      </c>
      <c r="H60" t="s">
        <v>25</v>
      </c>
      <c r="I60" t="s">
        <v>112</v>
      </c>
      <c r="J60" t="s">
        <v>406</v>
      </c>
      <c r="L60">
        <v>2</v>
      </c>
    </row>
    <row r="61" spans="1:12" x14ac:dyDescent="0.3">
      <c r="A61">
        <v>60</v>
      </c>
      <c r="B61">
        <v>2115442700</v>
      </c>
      <c r="C61" t="s">
        <v>278</v>
      </c>
      <c r="D61" t="s">
        <v>300</v>
      </c>
      <c r="E61" t="s">
        <v>317</v>
      </c>
      <c r="F61" t="s">
        <v>374</v>
      </c>
      <c r="G61" t="s">
        <v>375</v>
      </c>
      <c r="H61" t="s">
        <v>23</v>
      </c>
      <c r="I61" t="s">
        <v>111</v>
      </c>
      <c r="J61" t="s">
        <v>406</v>
      </c>
      <c r="K61" t="s">
        <v>423</v>
      </c>
      <c r="L61">
        <v>0</v>
      </c>
    </row>
    <row r="62" spans="1:12" x14ac:dyDescent="0.3">
      <c r="L62">
        <v>64.666666666666671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JAM 2021</vt:lpstr>
      <vt:lpstr>JAM 2022</vt:lpstr>
      <vt:lpstr>JAM 2024</vt:lpstr>
      <vt:lpstr>JAM 2025</vt:lpstr>
      <vt:lpstr>JAM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Rishav -</cp:lastModifiedBy>
  <dcterms:created xsi:type="dcterms:W3CDTF">2026-06-02T12:39:49Z</dcterms:created>
  <dcterms:modified xsi:type="dcterms:W3CDTF">2026-06-09T15:18:48Z</dcterms:modified>
</cp:coreProperties>
</file>