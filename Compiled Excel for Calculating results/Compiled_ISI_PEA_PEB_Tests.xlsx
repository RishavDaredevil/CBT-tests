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ISI docs\ISI PEA attempts\"/>
    </mc:Choice>
  </mc:AlternateContent>
  <xr:revisionPtr revIDLastSave="0" documentId="13_ncr:1_{D5B5C812-D8A1-45D4-A746-C5C4C0B75429}" xr6:coauthVersionLast="47" xr6:coauthVersionMax="47" xr10:uidLastSave="{00000000-0000-0000-0000-000000000000}"/>
  <bookViews>
    <workbookView xWindow="-108" yWindow="-108" windowWidth="23256" windowHeight="13176" xr2:uid="{00000000-000D-0000-FFFF-FFFF00000000}"/>
  </bookViews>
  <sheets>
    <sheet name="Instructions" sheetId="1" r:id="rId1"/>
    <sheet name="PEA 2016" sheetId="2" r:id="rId2"/>
    <sheet name="PEA 2017" sheetId="3" r:id="rId3"/>
    <sheet name="PEB 2017" sheetId="4" r:id="rId4"/>
    <sheet name="PEA 2018" sheetId="5" r:id="rId5"/>
    <sheet name="PEA 2019" sheetId="6" r:id="rId6"/>
    <sheet name="PEA 2020" sheetId="7" r:id="rId7"/>
    <sheet name="PEA 2021" sheetId="8" r:id="rId8"/>
    <sheet name="PEA 2022" sheetId="9" r:id="rId9"/>
    <sheet name="PEA 2024" sheetId="10" r:id="rId10"/>
    <sheet name="PEA 2025"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H31" i="11" s="1"/>
  <c r="I31" i="11" s="1"/>
  <c r="K31" i="11" s="1"/>
  <c r="F30" i="11"/>
  <c r="H30" i="11" s="1"/>
  <c r="I30" i="11" s="1"/>
  <c r="K30" i="11" s="1"/>
  <c r="F29" i="11"/>
  <c r="H29" i="11" s="1"/>
  <c r="I29" i="11" s="1"/>
  <c r="K29" i="11" s="1"/>
  <c r="F28" i="11"/>
  <c r="H28" i="11" s="1"/>
  <c r="I28" i="11" s="1"/>
  <c r="K28" i="11" s="1"/>
  <c r="F27" i="11"/>
  <c r="H27" i="11" s="1"/>
  <c r="I27" i="11" s="1"/>
  <c r="K27" i="11" s="1"/>
  <c r="F26" i="11"/>
  <c r="H26" i="11" s="1"/>
  <c r="I26" i="11" s="1"/>
  <c r="K26" i="11" s="1"/>
  <c r="F25" i="11"/>
  <c r="H25" i="11" s="1"/>
  <c r="I25" i="11" s="1"/>
  <c r="K25" i="11" s="1"/>
  <c r="F24" i="11"/>
  <c r="H24" i="11" s="1"/>
  <c r="I24" i="11" s="1"/>
  <c r="K24" i="11" s="1"/>
  <c r="F23" i="11"/>
  <c r="H23" i="11" s="1"/>
  <c r="I23" i="11" s="1"/>
  <c r="K23" i="11" s="1"/>
  <c r="F22" i="11"/>
  <c r="H22" i="11" s="1"/>
  <c r="I22" i="11" s="1"/>
  <c r="K22" i="11" s="1"/>
  <c r="I21" i="11"/>
  <c r="K21" i="11" s="1"/>
  <c r="F21" i="11"/>
  <c r="H21" i="11" s="1"/>
  <c r="F20" i="11"/>
  <c r="H20" i="11" s="1"/>
  <c r="I20" i="11" s="1"/>
  <c r="K20" i="11" s="1"/>
  <c r="F19" i="11"/>
  <c r="H19" i="11" s="1"/>
  <c r="I19" i="11" s="1"/>
  <c r="K19" i="11" s="1"/>
  <c r="F18" i="11"/>
  <c r="H18" i="11" s="1"/>
  <c r="I18" i="11" s="1"/>
  <c r="K18" i="11" s="1"/>
  <c r="F17" i="11"/>
  <c r="H17" i="11" s="1"/>
  <c r="I17" i="11" s="1"/>
  <c r="K17" i="11" s="1"/>
  <c r="F16" i="11"/>
  <c r="H16" i="11" s="1"/>
  <c r="I16" i="11" s="1"/>
  <c r="K16" i="11" s="1"/>
  <c r="F15" i="11"/>
  <c r="H15" i="11" s="1"/>
  <c r="I15" i="11" s="1"/>
  <c r="K15" i="11" s="1"/>
  <c r="F14" i="11"/>
  <c r="H14" i="11" s="1"/>
  <c r="I14" i="11" s="1"/>
  <c r="K14" i="11" s="1"/>
  <c r="F13" i="11"/>
  <c r="H13" i="11" s="1"/>
  <c r="I13" i="11" s="1"/>
  <c r="K13" i="11" s="1"/>
  <c r="I12" i="11"/>
  <c r="K12" i="11" s="1"/>
  <c r="F12" i="11"/>
  <c r="H12" i="11" s="1"/>
  <c r="F11" i="11"/>
  <c r="H11" i="11" s="1"/>
  <c r="I11" i="11" s="1"/>
  <c r="K11" i="11" s="1"/>
  <c r="D11" i="11"/>
  <c r="H10" i="11"/>
  <c r="I10" i="11" s="1"/>
  <c r="K10" i="11" s="1"/>
  <c r="F10" i="11"/>
  <c r="F9" i="11"/>
  <c r="H9" i="11" s="1"/>
  <c r="I9" i="11" s="1"/>
  <c r="K9" i="11" s="1"/>
  <c r="F8" i="11"/>
  <c r="H8" i="11" s="1"/>
  <c r="I8" i="11" s="1"/>
  <c r="K8" i="11" s="1"/>
  <c r="H7" i="11"/>
  <c r="I7" i="11" s="1"/>
  <c r="K7" i="11" s="1"/>
  <c r="F7" i="11"/>
  <c r="K6" i="11"/>
  <c r="F6" i="11"/>
  <c r="H6" i="11" s="1"/>
  <c r="I6" i="11" s="1"/>
  <c r="I5" i="11"/>
  <c r="K5" i="11" s="1"/>
  <c r="F5" i="11"/>
  <c r="H5" i="11" s="1"/>
  <c r="F4" i="11"/>
  <c r="H4" i="11" s="1"/>
  <c r="I4" i="11" s="1"/>
  <c r="K4" i="11" s="1"/>
  <c r="K3" i="11"/>
  <c r="F3" i="11"/>
  <c r="H3" i="11" s="1"/>
  <c r="I3" i="11" s="1"/>
  <c r="F2" i="11"/>
  <c r="F32" i="11" s="1"/>
  <c r="F31" i="10"/>
  <c r="H31" i="10" s="1"/>
  <c r="I31" i="10" s="1"/>
  <c r="K31" i="10" s="1"/>
  <c r="H30" i="10"/>
  <c r="I30" i="10" s="1"/>
  <c r="K30" i="10" s="1"/>
  <c r="F30" i="10"/>
  <c r="K29" i="10"/>
  <c r="I29" i="10"/>
  <c r="H29" i="10"/>
  <c r="F29" i="10"/>
  <c r="I28" i="10"/>
  <c r="K28" i="10" s="1"/>
  <c r="H28" i="10"/>
  <c r="F28" i="10"/>
  <c r="H27" i="10"/>
  <c r="I27" i="10" s="1"/>
  <c r="K27" i="10" s="1"/>
  <c r="F27" i="10"/>
  <c r="I26" i="10"/>
  <c r="K26" i="10" s="1"/>
  <c r="H26" i="10"/>
  <c r="F26" i="10"/>
  <c r="F25" i="10"/>
  <c r="H25" i="10" s="1"/>
  <c r="I25" i="10" s="1"/>
  <c r="K25" i="10" s="1"/>
  <c r="H24" i="10"/>
  <c r="I24" i="10" s="1"/>
  <c r="K24" i="10" s="1"/>
  <c r="F24" i="10"/>
  <c r="I23" i="10"/>
  <c r="K23" i="10" s="1"/>
  <c r="H23" i="10"/>
  <c r="F23" i="10"/>
  <c r="H22" i="10"/>
  <c r="I22" i="10" s="1"/>
  <c r="K22" i="10" s="1"/>
  <c r="F22" i="10"/>
  <c r="H21" i="10"/>
  <c r="I21" i="10" s="1"/>
  <c r="K21" i="10" s="1"/>
  <c r="F21" i="10"/>
  <c r="K20" i="10"/>
  <c r="I20" i="10"/>
  <c r="H20" i="10"/>
  <c r="F20" i="10"/>
  <c r="F19" i="10"/>
  <c r="H19" i="10" s="1"/>
  <c r="I19" i="10" s="1"/>
  <c r="K19" i="10" s="1"/>
  <c r="H18" i="10"/>
  <c r="I18" i="10" s="1"/>
  <c r="K18" i="10" s="1"/>
  <c r="F18" i="10"/>
  <c r="I17" i="10"/>
  <c r="K17" i="10" s="1"/>
  <c r="H17" i="10"/>
  <c r="F17" i="10"/>
  <c r="F16" i="10"/>
  <c r="H16" i="10" s="1"/>
  <c r="I16" i="10" s="1"/>
  <c r="K16" i="10" s="1"/>
  <c r="H15" i="10"/>
  <c r="I15" i="10" s="1"/>
  <c r="K15" i="10" s="1"/>
  <c r="F15" i="10"/>
  <c r="K14" i="10"/>
  <c r="I14" i="10"/>
  <c r="H14" i="10"/>
  <c r="F14" i="10"/>
  <c r="F13" i="10"/>
  <c r="H13" i="10" s="1"/>
  <c r="I13" i="10" s="1"/>
  <c r="K13" i="10" s="1"/>
  <c r="H12" i="10"/>
  <c r="I12" i="10" s="1"/>
  <c r="K12" i="10" s="1"/>
  <c r="F12" i="10"/>
  <c r="K11" i="10"/>
  <c r="I11" i="10"/>
  <c r="H11" i="10"/>
  <c r="F11" i="10"/>
  <c r="I10" i="10"/>
  <c r="K10" i="10" s="1"/>
  <c r="H10" i="10"/>
  <c r="F10" i="10"/>
  <c r="H9" i="10"/>
  <c r="I9" i="10" s="1"/>
  <c r="K9" i="10" s="1"/>
  <c r="F9" i="10"/>
  <c r="I8" i="10"/>
  <c r="K8" i="10" s="1"/>
  <c r="H8" i="10"/>
  <c r="F8" i="10"/>
  <c r="F7" i="10"/>
  <c r="H7" i="10" s="1"/>
  <c r="I7" i="10" s="1"/>
  <c r="K7" i="10" s="1"/>
  <c r="H6" i="10"/>
  <c r="I6" i="10" s="1"/>
  <c r="K6" i="10" s="1"/>
  <c r="F6" i="10"/>
  <c r="I5" i="10"/>
  <c r="K5" i="10" s="1"/>
  <c r="H5" i="10"/>
  <c r="F5" i="10"/>
  <c r="H4" i="10"/>
  <c r="I4" i="10" s="1"/>
  <c r="K4" i="10" s="1"/>
  <c r="F4" i="10"/>
  <c r="H3" i="10"/>
  <c r="I3" i="10" s="1"/>
  <c r="K3" i="10" s="1"/>
  <c r="F3" i="10"/>
  <c r="K2" i="10"/>
  <c r="I2" i="10"/>
  <c r="H2" i="10"/>
  <c r="F2" i="10"/>
  <c r="H31" i="9"/>
  <c r="I31" i="9" s="1"/>
  <c r="K31" i="9" s="1"/>
  <c r="F31" i="9"/>
  <c r="F30" i="9"/>
  <c r="H30" i="9" s="1"/>
  <c r="I30" i="9" s="1"/>
  <c r="K30" i="9" s="1"/>
  <c r="K29" i="9"/>
  <c r="F29" i="9"/>
  <c r="H29" i="9" s="1"/>
  <c r="I29" i="9" s="1"/>
  <c r="H28" i="9"/>
  <c r="I28" i="9" s="1"/>
  <c r="K28" i="9" s="1"/>
  <c r="F28" i="9"/>
  <c r="F27" i="9"/>
  <c r="H27" i="9" s="1"/>
  <c r="I27" i="9" s="1"/>
  <c r="K27" i="9" s="1"/>
  <c r="I26" i="9"/>
  <c r="K26" i="9" s="1"/>
  <c r="F26" i="9"/>
  <c r="H26" i="9" s="1"/>
  <c r="I25" i="9"/>
  <c r="K25" i="9" s="1"/>
  <c r="H25" i="9"/>
  <c r="F25" i="9"/>
  <c r="F24" i="9"/>
  <c r="H24" i="9" s="1"/>
  <c r="I24" i="9" s="1"/>
  <c r="K24" i="9" s="1"/>
  <c r="F23" i="9"/>
  <c r="H23" i="9" s="1"/>
  <c r="I23" i="9" s="1"/>
  <c r="K23" i="9" s="1"/>
  <c r="I22" i="9"/>
  <c r="K22" i="9" s="1"/>
  <c r="H22" i="9"/>
  <c r="F22" i="9"/>
  <c r="I21" i="9"/>
  <c r="K21" i="9" s="1"/>
  <c r="F21" i="9"/>
  <c r="H21" i="9" s="1"/>
  <c r="F20" i="9"/>
  <c r="H20" i="9" s="1"/>
  <c r="I20" i="9" s="1"/>
  <c r="K20" i="9" s="1"/>
  <c r="H19" i="9"/>
  <c r="I19" i="9" s="1"/>
  <c r="K19" i="9" s="1"/>
  <c r="F19" i="9"/>
  <c r="I18" i="9"/>
  <c r="K18" i="9" s="1"/>
  <c r="F18" i="9"/>
  <c r="H18" i="9" s="1"/>
  <c r="I17" i="9"/>
  <c r="K17" i="9" s="1"/>
  <c r="F17" i="9"/>
  <c r="H17" i="9" s="1"/>
  <c r="H16" i="9"/>
  <c r="I16" i="9" s="1"/>
  <c r="K16" i="9" s="1"/>
  <c r="F16" i="9"/>
  <c r="F15" i="9"/>
  <c r="H15" i="9" s="1"/>
  <c r="I15" i="9" s="1"/>
  <c r="K15" i="9" s="1"/>
  <c r="I14" i="9"/>
  <c r="K14" i="9" s="1"/>
  <c r="F14" i="9"/>
  <c r="H14" i="9" s="1"/>
  <c r="I13" i="9"/>
  <c r="K13" i="9" s="1"/>
  <c r="H13" i="9"/>
  <c r="F13" i="9"/>
  <c r="F12" i="9"/>
  <c r="H12" i="9" s="1"/>
  <c r="I12" i="9" s="1"/>
  <c r="K12" i="9" s="1"/>
  <c r="F11" i="9"/>
  <c r="H11" i="9" s="1"/>
  <c r="I11" i="9" s="1"/>
  <c r="K11" i="9" s="1"/>
  <c r="I10" i="9"/>
  <c r="K10" i="9" s="1"/>
  <c r="H10" i="9"/>
  <c r="F10" i="9"/>
  <c r="I9" i="9"/>
  <c r="K9" i="9" s="1"/>
  <c r="F9" i="9"/>
  <c r="H9" i="9" s="1"/>
  <c r="F8" i="9"/>
  <c r="H8" i="9" s="1"/>
  <c r="I8" i="9" s="1"/>
  <c r="K8" i="9" s="1"/>
  <c r="H7" i="9"/>
  <c r="I7" i="9" s="1"/>
  <c r="K7" i="9" s="1"/>
  <c r="F7" i="9"/>
  <c r="I6" i="9"/>
  <c r="K6" i="9" s="1"/>
  <c r="F6" i="9"/>
  <c r="H6" i="9" s="1"/>
  <c r="I5" i="9"/>
  <c r="K5" i="9" s="1"/>
  <c r="F5" i="9"/>
  <c r="H5" i="9" s="1"/>
  <c r="H4" i="9"/>
  <c r="I4" i="9" s="1"/>
  <c r="K4" i="9" s="1"/>
  <c r="F4" i="9"/>
  <c r="F3" i="9"/>
  <c r="H3" i="9" s="1"/>
  <c r="I3" i="9" s="1"/>
  <c r="K3" i="9" s="1"/>
  <c r="I2" i="9"/>
  <c r="K2" i="9" s="1"/>
  <c r="F2" i="9"/>
  <c r="H2" i="9" s="1"/>
  <c r="K31" i="8"/>
  <c r="F31" i="8"/>
  <c r="H31" i="8" s="1"/>
  <c r="I31" i="8" s="1"/>
  <c r="H30" i="8"/>
  <c r="I30" i="8" s="1"/>
  <c r="K30" i="8" s="1"/>
  <c r="F30" i="8"/>
  <c r="H29" i="8"/>
  <c r="I29" i="8" s="1"/>
  <c r="K29" i="8" s="1"/>
  <c r="F29" i="8"/>
  <c r="K28" i="8"/>
  <c r="F28" i="8"/>
  <c r="H28" i="8" s="1"/>
  <c r="I28" i="8" s="1"/>
  <c r="H27" i="8"/>
  <c r="I27" i="8" s="1"/>
  <c r="K27" i="8" s="1"/>
  <c r="F27" i="8"/>
  <c r="F26" i="8"/>
  <c r="H26" i="8" s="1"/>
  <c r="I26" i="8" s="1"/>
  <c r="K26" i="8" s="1"/>
  <c r="F25" i="8"/>
  <c r="H25" i="8" s="1"/>
  <c r="I25" i="8" s="1"/>
  <c r="K25" i="8" s="1"/>
  <c r="F24" i="8"/>
  <c r="H24" i="8" s="1"/>
  <c r="I24" i="8" s="1"/>
  <c r="K24" i="8" s="1"/>
  <c r="F23" i="8"/>
  <c r="H23" i="8" s="1"/>
  <c r="I23" i="8" s="1"/>
  <c r="K23" i="8" s="1"/>
  <c r="K22" i="8"/>
  <c r="F22" i="8"/>
  <c r="H22" i="8" s="1"/>
  <c r="I22" i="8" s="1"/>
  <c r="H21" i="8"/>
  <c r="I21" i="8" s="1"/>
  <c r="K21" i="8" s="1"/>
  <c r="F21" i="8"/>
  <c r="H20" i="8"/>
  <c r="I20" i="8" s="1"/>
  <c r="K20" i="8" s="1"/>
  <c r="F20" i="8"/>
  <c r="K19" i="8"/>
  <c r="F19" i="8"/>
  <c r="H19" i="8" s="1"/>
  <c r="I19" i="8" s="1"/>
  <c r="H18" i="8"/>
  <c r="I18" i="8" s="1"/>
  <c r="K18" i="8" s="1"/>
  <c r="F18" i="8"/>
  <c r="F17" i="8"/>
  <c r="H17" i="8" s="1"/>
  <c r="I17" i="8" s="1"/>
  <c r="K17" i="8" s="1"/>
  <c r="F16" i="8"/>
  <c r="H16" i="8" s="1"/>
  <c r="I16" i="8" s="1"/>
  <c r="K16" i="8" s="1"/>
  <c r="F15" i="8"/>
  <c r="H15" i="8" s="1"/>
  <c r="I15" i="8" s="1"/>
  <c r="K15" i="8" s="1"/>
  <c r="F14" i="8"/>
  <c r="H14" i="8" s="1"/>
  <c r="I14" i="8" s="1"/>
  <c r="K14" i="8" s="1"/>
  <c r="K13" i="8"/>
  <c r="F13" i="8"/>
  <c r="H13" i="8" s="1"/>
  <c r="I13" i="8" s="1"/>
  <c r="H12" i="8"/>
  <c r="I12" i="8" s="1"/>
  <c r="K12" i="8" s="1"/>
  <c r="F12" i="8"/>
  <c r="H11" i="8"/>
  <c r="I11" i="8" s="1"/>
  <c r="K11" i="8" s="1"/>
  <c r="F11" i="8"/>
  <c r="F10" i="8"/>
  <c r="H10" i="8" s="1"/>
  <c r="I10" i="8" s="1"/>
  <c r="K10" i="8" s="1"/>
  <c r="H9" i="8"/>
  <c r="I9" i="8" s="1"/>
  <c r="K9" i="8" s="1"/>
  <c r="F9" i="8"/>
  <c r="F8" i="8"/>
  <c r="H8" i="8" s="1"/>
  <c r="I8" i="8" s="1"/>
  <c r="K8" i="8" s="1"/>
  <c r="F7" i="8"/>
  <c r="H7" i="8" s="1"/>
  <c r="I7" i="8" s="1"/>
  <c r="K7" i="8" s="1"/>
  <c r="F6" i="8"/>
  <c r="H6" i="8" s="1"/>
  <c r="I6" i="8" s="1"/>
  <c r="K6" i="8" s="1"/>
  <c r="F5" i="8"/>
  <c r="H5" i="8" s="1"/>
  <c r="I5" i="8" s="1"/>
  <c r="K5" i="8" s="1"/>
  <c r="K4" i="8"/>
  <c r="F4" i="8"/>
  <c r="H4" i="8" s="1"/>
  <c r="I4" i="8" s="1"/>
  <c r="H3" i="8"/>
  <c r="I3" i="8" s="1"/>
  <c r="K3" i="8" s="1"/>
  <c r="F3" i="8"/>
  <c r="H2" i="8"/>
  <c r="I2" i="8" s="1"/>
  <c r="F2" i="8"/>
  <c r="F31" i="7"/>
  <c r="H31" i="7" s="1"/>
  <c r="I31" i="7" s="1"/>
  <c r="K31" i="7" s="1"/>
  <c r="K30" i="7"/>
  <c r="I30" i="7"/>
  <c r="F30" i="7"/>
  <c r="H30" i="7" s="1"/>
  <c r="I29" i="7"/>
  <c r="K29" i="7" s="1"/>
  <c r="H29" i="7"/>
  <c r="F29" i="7"/>
  <c r="I28" i="7"/>
  <c r="K28" i="7" s="1"/>
  <c r="F28" i="7"/>
  <c r="H28" i="7" s="1"/>
  <c r="F27" i="7"/>
  <c r="H27" i="7" s="1"/>
  <c r="I27" i="7" s="1"/>
  <c r="K27" i="7" s="1"/>
  <c r="K26" i="7"/>
  <c r="I26" i="7"/>
  <c r="H26" i="7"/>
  <c r="F26" i="7"/>
  <c r="I25" i="7"/>
  <c r="K25" i="7" s="1"/>
  <c r="F25" i="7"/>
  <c r="H25" i="7" s="1"/>
  <c r="I24" i="7"/>
  <c r="K24" i="7" s="1"/>
  <c r="F24" i="7"/>
  <c r="H24" i="7" s="1"/>
  <c r="H23" i="7"/>
  <c r="I23" i="7" s="1"/>
  <c r="K23" i="7" s="1"/>
  <c r="F23" i="7"/>
  <c r="I22" i="7"/>
  <c r="K22" i="7" s="1"/>
  <c r="F22" i="7"/>
  <c r="H22" i="7" s="1"/>
  <c r="I21" i="7"/>
  <c r="K21" i="7" s="1"/>
  <c r="F21" i="7"/>
  <c r="H21" i="7" s="1"/>
  <c r="I20" i="7"/>
  <c r="K20" i="7" s="1"/>
  <c r="H20" i="7"/>
  <c r="F20" i="7"/>
  <c r="F19" i="7"/>
  <c r="H19" i="7" s="1"/>
  <c r="I19" i="7" s="1"/>
  <c r="K19" i="7" s="1"/>
  <c r="K18" i="7"/>
  <c r="I18" i="7"/>
  <c r="F18" i="7"/>
  <c r="H18" i="7" s="1"/>
  <c r="I17" i="7"/>
  <c r="K17" i="7" s="1"/>
  <c r="H17" i="7"/>
  <c r="F17" i="7"/>
  <c r="I16" i="7"/>
  <c r="K16" i="7" s="1"/>
  <c r="F16" i="7"/>
  <c r="H16" i="7" s="1"/>
  <c r="F15" i="7"/>
  <c r="H15" i="7" s="1"/>
  <c r="I15" i="7" s="1"/>
  <c r="K15" i="7" s="1"/>
  <c r="K14" i="7"/>
  <c r="I14" i="7"/>
  <c r="H14" i="7"/>
  <c r="F14" i="7"/>
  <c r="I13" i="7"/>
  <c r="K13" i="7" s="1"/>
  <c r="F13" i="7"/>
  <c r="H13" i="7" s="1"/>
  <c r="I12" i="7"/>
  <c r="K12" i="7" s="1"/>
  <c r="F12" i="7"/>
  <c r="H12" i="7" s="1"/>
  <c r="H11" i="7"/>
  <c r="I11" i="7" s="1"/>
  <c r="K11" i="7" s="1"/>
  <c r="F11" i="7"/>
  <c r="I10" i="7"/>
  <c r="K10" i="7" s="1"/>
  <c r="F10" i="7"/>
  <c r="H10" i="7" s="1"/>
  <c r="I9" i="7"/>
  <c r="K9" i="7" s="1"/>
  <c r="F9" i="7"/>
  <c r="H9" i="7" s="1"/>
  <c r="I8" i="7"/>
  <c r="K8" i="7" s="1"/>
  <c r="H8" i="7"/>
  <c r="F8" i="7"/>
  <c r="F7" i="7"/>
  <c r="H7" i="7" s="1"/>
  <c r="I7" i="7" s="1"/>
  <c r="K7" i="7" s="1"/>
  <c r="K6" i="7"/>
  <c r="I6" i="7"/>
  <c r="F6" i="7"/>
  <c r="H6" i="7" s="1"/>
  <c r="I5" i="7"/>
  <c r="K5" i="7" s="1"/>
  <c r="H5" i="7"/>
  <c r="F5" i="7"/>
  <c r="I4" i="7"/>
  <c r="K4" i="7" s="1"/>
  <c r="F4" i="7"/>
  <c r="H4" i="7" s="1"/>
  <c r="F3" i="7"/>
  <c r="H3" i="7" s="1"/>
  <c r="I3" i="7" s="1"/>
  <c r="K3" i="7" s="1"/>
  <c r="K2" i="7"/>
  <c r="I2" i="7"/>
  <c r="H2" i="7"/>
  <c r="F2" i="7"/>
  <c r="F31" i="6"/>
  <c r="H31" i="6" s="1"/>
  <c r="I31" i="6" s="1"/>
  <c r="K31" i="6" s="1"/>
  <c r="F30" i="6"/>
  <c r="H30" i="6" s="1"/>
  <c r="I30" i="6" s="1"/>
  <c r="K30" i="6" s="1"/>
  <c r="F29" i="6"/>
  <c r="H29" i="6" s="1"/>
  <c r="I29" i="6" s="1"/>
  <c r="K29" i="6" s="1"/>
  <c r="I28" i="6"/>
  <c r="K28" i="6" s="1"/>
  <c r="H28" i="6"/>
  <c r="F28" i="6"/>
  <c r="F27" i="6"/>
  <c r="H27" i="6" s="1"/>
  <c r="I27" i="6" s="1"/>
  <c r="K27" i="6" s="1"/>
  <c r="K26" i="6"/>
  <c r="F26" i="6"/>
  <c r="H26" i="6" s="1"/>
  <c r="I26" i="6" s="1"/>
  <c r="F25" i="6"/>
  <c r="H25" i="6" s="1"/>
  <c r="I25" i="6" s="1"/>
  <c r="K25" i="6" s="1"/>
  <c r="I24" i="6"/>
  <c r="K24" i="6" s="1"/>
  <c r="H24" i="6"/>
  <c r="F24" i="6"/>
  <c r="F23" i="6"/>
  <c r="H23" i="6" s="1"/>
  <c r="I23" i="6" s="1"/>
  <c r="K23" i="6" s="1"/>
  <c r="F22" i="6"/>
  <c r="H22" i="6" s="1"/>
  <c r="I22" i="6" s="1"/>
  <c r="K22" i="6" s="1"/>
  <c r="F21" i="6"/>
  <c r="H21" i="6" s="1"/>
  <c r="I21" i="6" s="1"/>
  <c r="K21" i="6" s="1"/>
  <c r="F20" i="6"/>
  <c r="H20" i="6" s="1"/>
  <c r="I20" i="6" s="1"/>
  <c r="K20" i="6" s="1"/>
  <c r="I19" i="6"/>
  <c r="K19" i="6" s="1"/>
  <c r="H19" i="6"/>
  <c r="F19" i="6"/>
  <c r="F18" i="6"/>
  <c r="H18" i="6" s="1"/>
  <c r="I18" i="6" s="1"/>
  <c r="K18" i="6" s="1"/>
  <c r="K17" i="6"/>
  <c r="F17" i="6"/>
  <c r="H17" i="6" s="1"/>
  <c r="I17" i="6" s="1"/>
  <c r="F16" i="6"/>
  <c r="H16" i="6" s="1"/>
  <c r="I16" i="6" s="1"/>
  <c r="K16" i="6" s="1"/>
  <c r="I15" i="6"/>
  <c r="K15" i="6" s="1"/>
  <c r="H15" i="6"/>
  <c r="F15" i="6"/>
  <c r="F14" i="6"/>
  <c r="H14" i="6" s="1"/>
  <c r="I14" i="6" s="1"/>
  <c r="K14" i="6" s="1"/>
  <c r="F13" i="6"/>
  <c r="H13" i="6" s="1"/>
  <c r="I13" i="6" s="1"/>
  <c r="K13" i="6" s="1"/>
  <c r="F12" i="6"/>
  <c r="H12" i="6" s="1"/>
  <c r="I12" i="6" s="1"/>
  <c r="K12" i="6" s="1"/>
  <c r="F11" i="6"/>
  <c r="H11" i="6" s="1"/>
  <c r="I11" i="6" s="1"/>
  <c r="K11" i="6" s="1"/>
  <c r="I10" i="6"/>
  <c r="K10" i="6" s="1"/>
  <c r="H10" i="6"/>
  <c r="F10" i="6"/>
  <c r="F9" i="6"/>
  <c r="H9" i="6" s="1"/>
  <c r="I9" i="6" s="1"/>
  <c r="K9" i="6" s="1"/>
  <c r="K8" i="6"/>
  <c r="F8" i="6"/>
  <c r="H8" i="6" s="1"/>
  <c r="I8" i="6" s="1"/>
  <c r="F7" i="6"/>
  <c r="H7" i="6" s="1"/>
  <c r="I7" i="6" s="1"/>
  <c r="K7" i="6" s="1"/>
  <c r="I6" i="6"/>
  <c r="K6" i="6" s="1"/>
  <c r="H6" i="6"/>
  <c r="F6" i="6"/>
  <c r="F5" i="6"/>
  <c r="H5" i="6" s="1"/>
  <c r="I5" i="6" s="1"/>
  <c r="K5" i="6" s="1"/>
  <c r="F4" i="6"/>
  <c r="H4" i="6" s="1"/>
  <c r="I4" i="6" s="1"/>
  <c r="K4" i="6" s="1"/>
  <c r="F3" i="6"/>
  <c r="H3" i="6" s="1"/>
  <c r="I3" i="6" s="1"/>
  <c r="K3" i="6" s="1"/>
  <c r="F2" i="6"/>
  <c r="H2" i="6" s="1"/>
  <c r="I2" i="6" s="1"/>
  <c r="F31" i="5"/>
  <c r="H31" i="5" s="1"/>
  <c r="I31" i="5" s="1"/>
  <c r="K31" i="5" s="1"/>
  <c r="H30" i="5"/>
  <c r="I30" i="5" s="1"/>
  <c r="K30" i="5" s="1"/>
  <c r="F30" i="5"/>
  <c r="F29" i="5"/>
  <c r="H29" i="5" s="1"/>
  <c r="I29" i="5" s="1"/>
  <c r="K29" i="5" s="1"/>
  <c r="I28" i="5"/>
  <c r="K28" i="5" s="1"/>
  <c r="F28" i="5"/>
  <c r="H28" i="5" s="1"/>
  <c r="H27" i="5"/>
  <c r="I27" i="5" s="1"/>
  <c r="K27" i="5" s="1"/>
  <c r="F27" i="5"/>
  <c r="F26" i="5"/>
  <c r="H26" i="5" s="1"/>
  <c r="I26" i="5" s="1"/>
  <c r="K26" i="5" s="1"/>
  <c r="F25" i="5"/>
  <c r="H25" i="5" s="1"/>
  <c r="I25" i="5" s="1"/>
  <c r="K25" i="5" s="1"/>
  <c r="I24" i="5"/>
  <c r="K24" i="5" s="1"/>
  <c r="H24" i="5"/>
  <c r="F24" i="5"/>
  <c r="F23" i="5"/>
  <c r="H23" i="5" s="1"/>
  <c r="I23" i="5" s="1"/>
  <c r="K23" i="5" s="1"/>
  <c r="F22" i="5"/>
  <c r="H22" i="5" s="1"/>
  <c r="I22" i="5" s="1"/>
  <c r="K22" i="5" s="1"/>
  <c r="F21" i="5"/>
  <c r="H21" i="5" s="1"/>
  <c r="I21" i="5" s="1"/>
  <c r="K21" i="5" s="1"/>
  <c r="I20" i="5"/>
  <c r="K20" i="5" s="1"/>
  <c r="F20" i="5"/>
  <c r="H20" i="5" s="1"/>
  <c r="F19" i="5"/>
  <c r="H19" i="5" s="1"/>
  <c r="I19" i="5" s="1"/>
  <c r="K19" i="5" s="1"/>
  <c r="H18" i="5"/>
  <c r="I18" i="5" s="1"/>
  <c r="K18" i="5" s="1"/>
  <c r="F18" i="5"/>
  <c r="F17" i="5"/>
  <c r="H17" i="5" s="1"/>
  <c r="I17" i="5" s="1"/>
  <c r="K17" i="5" s="1"/>
  <c r="I16" i="5"/>
  <c r="K16" i="5" s="1"/>
  <c r="F16" i="5"/>
  <c r="H16" i="5" s="1"/>
  <c r="H15" i="5"/>
  <c r="I15" i="5" s="1"/>
  <c r="K15" i="5" s="1"/>
  <c r="F15" i="5"/>
  <c r="F14" i="5"/>
  <c r="H14" i="5" s="1"/>
  <c r="I14" i="5" s="1"/>
  <c r="K14" i="5" s="1"/>
  <c r="F13" i="5"/>
  <c r="H13" i="5" s="1"/>
  <c r="I13" i="5" s="1"/>
  <c r="K13" i="5" s="1"/>
  <c r="I12" i="5"/>
  <c r="K12" i="5" s="1"/>
  <c r="H12" i="5"/>
  <c r="F12" i="5"/>
  <c r="F11" i="5"/>
  <c r="H11" i="5" s="1"/>
  <c r="I11" i="5" s="1"/>
  <c r="K11" i="5" s="1"/>
  <c r="F10" i="5"/>
  <c r="H10" i="5" s="1"/>
  <c r="I10" i="5" s="1"/>
  <c r="K10" i="5" s="1"/>
  <c r="F9" i="5"/>
  <c r="H9" i="5" s="1"/>
  <c r="I9" i="5" s="1"/>
  <c r="K9" i="5" s="1"/>
  <c r="I8" i="5"/>
  <c r="K8" i="5" s="1"/>
  <c r="F8" i="5"/>
  <c r="H8" i="5" s="1"/>
  <c r="F7" i="5"/>
  <c r="H7" i="5" s="1"/>
  <c r="I7" i="5" s="1"/>
  <c r="K7" i="5" s="1"/>
  <c r="H6" i="5"/>
  <c r="I6" i="5" s="1"/>
  <c r="K6" i="5" s="1"/>
  <c r="F6" i="5"/>
  <c r="F5" i="5"/>
  <c r="H5" i="5" s="1"/>
  <c r="I5" i="5" s="1"/>
  <c r="K5" i="5" s="1"/>
  <c r="I4" i="5"/>
  <c r="K4" i="5" s="1"/>
  <c r="F4" i="5"/>
  <c r="H4" i="5" s="1"/>
  <c r="H3" i="5"/>
  <c r="I3" i="5" s="1"/>
  <c r="K3" i="5" s="1"/>
  <c r="F3" i="5"/>
  <c r="F2" i="5"/>
  <c r="H2" i="5" s="1"/>
  <c r="I2" i="5" s="1"/>
  <c r="K31" i="4"/>
  <c r="F31" i="4"/>
  <c r="G31" i="4" s="1"/>
  <c r="H31" i="4" s="1"/>
  <c r="J31" i="4" s="1"/>
  <c r="K30" i="4"/>
  <c r="J30" i="4"/>
  <c r="G30" i="4"/>
  <c r="H30" i="4" s="1"/>
  <c r="F30" i="4"/>
  <c r="K29" i="4"/>
  <c r="H29" i="4"/>
  <c r="J29" i="4" s="1"/>
  <c r="F29" i="4"/>
  <c r="G29" i="4" s="1"/>
  <c r="K28" i="4"/>
  <c r="G28" i="4"/>
  <c r="H28" i="4" s="1"/>
  <c r="J28" i="4" s="1"/>
  <c r="F28" i="4"/>
  <c r="K27" i="4"/>
  <c r="G27" i="4"/>
  <c r="H27" i="4" s="1"/>
  <c r="J27" i="4" s="1"/>
  <c r="F27" i="4"/>
  <c r="K26" i="4"/>
  <c r="F26" i="4"/>
  <c r="G26" i="4" s="1"/>
  <c r="H26" i="4" s="1"/>
  <c r="J26" i="4" s="1"/>
  <c r="K25" i="4"/>
  <c r="H25" i="4"/>
  <c r="J25" i="4" s="1"/>
  <c r="F25" i="4"/>
  <c r="G25" i="4" s="1"/>
  <c r="K24" i="4"/>
  <c r="G24" i="4"/>
  <c r="H24" i="4" s="1"/>
  <c r="J24" i="4" s="1"/>
  <c r="F24" i="4"/>
  <c r="K23" i="4"/>
  <c r="F23" i="4"/>
  <c r="G23" i="4" s="1"/>
  <c r="H23" i="4" s="1"/>
  <c r="J23" i="4" s="1"/>
  <c r="K22" i="4"/>
  <c r="H22" i="4"/>
  <c r="J22" i="4" s="1"/>
  <c r="G22" i="4"/>
  <c r="F22" i="4"/>
  <c r="K21" i="4"/>
  <c r="F21" i="4"/>
  <c r="G21" i="4" s="1"/>
  <c r="H21" i="4" s="1"/>
  <c r="J21" i="4" s="1"/>
  <c r="K20" i="4"/>
  <c r="F20" i="4"/>
  <c r="G20" i="4" s="1"/>
  <c r="H20" i="4" s="1"/>
  <c r="J20" i="4" s="1"/>
  <c r="K19" i="4"/>
  <c r="H19" i="4"/>
  <c r="J19" i="4" s="1"/>
  <c r="G19" i="4"/>
  <c r="F19" i="4"/>
  <c r="K18" i="4"/>
  <c r="G18" i="4"/>
  <c r="H18" i="4" s="1"/>
  <c r="J18" i="4" s="1"/>
  <c r="F18" i="4"/>
  <c r="K17" i="4"/>
  <c r="F17" i="4"/>
  <c r="G17" i="4" s="1"/>
  <c r="H17" i="4" s="1"/>
  <c r="J17" i="4" s="1"/>
  <c r="K16" i="4"/>
  <c r="J16" i="4"/>
  <c r="H16" i="4"/>
  <c r="G16" i="4"/>
  <c r="F16" i="4"/>
  <c r="K15" i="4"/>
  <c r="G15" i="4"/>
  <c r="H15" i="4" s="1"/>
  <c r="J15" i="4" s="1"/>
  <c r="F15" i="4"/>
  <c r="K14" i="4"/>
  <c r="G14" i="4"/>
  <c r="H14" i="4" s="1"/>
  <c r="J14" i="4" s="1"/>
  <c r="F14" i="4"/>
  <c r="K13" i="4"/>
  <c r="F13" i="4"/>
  <c r="G13" i="4" s="1"/>
  <c r="H13" i="4" s="1"/>
  <c r="J13" i="4" s="1"/>
  <c r="K12" i="4"/>
  <c r="F12" i="4"/>
  <c r="G12" i="4" s="1"/>
  <c r="H12" i="4" s="1"/>
  <c r="K11" i="4"/>
  <c r="F11" i="4"/>
  <c r="G11" i="4" s="1"/>
  <c r="H11" i="4" s="1"/>
  <c r="K10" i="4"/>
  <c r="H10" i="4"/>
  <c r="F10" i="4"/>
  <c r="G10" i="4" s="1"/>
  <c r="K9" i="4"/>
  <c r="H9" i="4"/>
  <c r="F9" i="4"/>
  <c r="G9" i="4" s="1"/>
  <c r="K8" i="4"/>
  <c r="F8" i="4"/>
  <c r="G8" i="4" s="1"/>
  <c r="H8" i="4" s="1"/>
  <c r="K7" i="4"/>
  <c r="F7" i="4"/>
  <c r="G7" i="4" s="1"/>
  <c r="H7" i="4" s="1"/>
  <c r="K6" i="4"/>
  <c r="H6" i="4"/>
  <c r="F6" i="4"/>
  <c r="G6" i="4" s="1"/>
  <c r="K5" i="4"/>
  <c r="F5" i="4"/>
  <c r="G5" i="4" s="1"/>
  <c r="H5" i="4" s="1"/>
  <c r="K4" i="4"/>
  <c r="F4" i="4"/>
  <c r="G4" i="4" s="1"/>
  <c r="H4" i="4" s="1"/>
  <c r="K3" i="4"/>
  <c r="H3" i="4"/>
  <c r="F3" i="4"/>
  <c r="G3" i="4" s="1"/>
  <c r="K2" i="4"/>
  <c r="G2" i="4"/>
  <c r="H2" i="4" s="1"/>
  <c r="F2" i="4"/>
  <c r="H31" i="3"/>
  <c r="I31" i="3" s="1"/>
  <c r="K31" i="3" s="1"/>
  <c r="F31" i="3"/>
  <c r="F30" i="3"/>
  <c r="H30" i="3" s="1"/>
  <c r="I30" i="3" s="1"/>
  <c r="K30" i="3" s="1"/>
  <c r="K29" i="3"/>
  <c r="I29" i="3"/>
  <c r="H29" i="3"/>
  <c r="F29" i="3"/>
  <c r="F28" i="3"/>
  <c r="H28" i="3" s="1"/>
  <c r="I28" i="3" s="1"/>
  <c r="K28" i="3" s="1"/>
  <c r="F27" i="3"/>
  <c r="H27" i="3" s="1"/>
  <c r="I27" i="3" s="1"/>
  <c r="K27" i="3" s="1"/>
  <c r="H26" i="3"/>
  <c r="I26" i="3" s="1"/>
  <c r="K26" i="3" s="1"/>
  <c r="F26" i="3"/>
  <c r="F25" i="3"/>
  <c r="H25" i="3" s="1"/>
  <c r="I25" i="3" s="1"/>
  <c r="K25" i="3" s="1"/>
  <c r="F24" i="3"/>
  <c r="H24" i="3" s="1"/>
  <c r="I24" i="3" s="1"/>
  <c r="K24" i="3" s="1"/>
  <c r="H23" i="3"/>
  <c r="I23" i="3" s="1"/>
  <c r="K23" i="3" s="1"/>
  <c r="F23" i="3"/>
  <c r="K22" i="3"/>
  <c r="H22" i="3"/>
  <c r="I22" i="3" s="1"/>
  <c r="F22" i="3"/>
  <c r="H21" i="3"/>
  <c r="I21" i="3" s="1"/>
  <c r="K21" i="3" s="1"/>
  <c r="F21" i="3"/>
  <c r="I20" i="3"/>
  <c r="K20" i="3" s="1"/>
  <c r="H20" i="3"/>
  <c r="F20" i="3"/>
  <c r="F19" i="3"/>
  <c r="H19" i="3" s="1"/>
  <c r="I19" i="3" s="1"/>
  <c r="K19" i="3" s="1"/>
  <c r="K18" i="3"/>
  <c r="H18" i="3"/>
  <c r="I18" i="3" s="1"/>
  <c r="F18" i="3"/>
  <c r="H17" i="3"/>
  <c r="I17" i="3" s="1"/>
  <c r="K17" i="3" s="1"/>
  <c r="F17" i="3"/>
  <c r="F16" i="3"/>
  <c r="H16" i="3" s="1"/>
  <c r="I16" i="3" s="1"/>
  <c r="K16" i="3" s="1"/>
  <c r="H15" i="3"/>
  <c r="I15" i="3" s="1"/>
  <c r="K15" i="3" s="1"/>
  <c r="F15" i="3"/>
  <c r="H14" i="3"/>
  <c r="I14" i="3" s="1"/>
  <c r="K14" i="3" s="1"/>
  <c r="F14" i="3"/>
  <c r="H13" i="3"/>
  <c r="I13" i="3" s="1"/>
  <c r="K13" i="3" s="1"/>
  <c r="F13" i="3"/>
  <c r="F12" i="3"/>
  <c r="H12" i="3" s="1"/>
  <c r="I12" i="3" s="1"/>
  <c r="K12" i="3" s="1"/>
  <c r="K11" i="3"/>
  <c r="I11" i="3"/>
  <c r="H11" i="3"/>
  <c r="F11" i="3"/>
  <c r="F10" i="3"/>
  <c r="H10" i="3" s="1"/>
  <c r="I10" i="3" s="1"/>
  <c r="K10" i="3" s="1"/>
  <c r="F9" i="3"/>
  <c r="H9" i="3" s="1"/>
  <c r="I9" i="3" s="1"/>
  <c r="K9" i="3" s="1"/>
  <c r="K8" i="3"/>
  <c r="I8" i="3"/>
  <c r="H8" i="3"/>
  <c r="F8" i="3"/>
  <c r="F7" i="3"/>
  <c r="H7" i="3" s="1"/>
  <c r="I7" i="3" s="1"/>
  <c r="K7" i="3" s="1"/>
  <c r="F6" i="3"/>
  <c r="H6" i="3" s="1"/>
  <c r="I6" i="3" s="1"/>
  <c r="K6" i="3" s="1"/>
  <c r="I5" i="3"/>
  <c r="K5" i="3" s="1"/>
  <c r="H5" i="3"/>
  <c r="F5" i="3"/>
  <c r="H4" i="3"/>
  <c r="I4" i="3" s="1"/>
  <c r="K4" i="3" s="1"/>
  <c r="F4" i="3"/>
  <c r="F3" i="3"/>
  <c r="H3" i="3" s="1"/>
  <c r="I3" i="3" s="1"/>
  <c r="K3" i="3" s="1"/>
  <c r="H2" i="3"/>
  <c r="I2" i="3" s="1"/>
  <c r="K2" i="3" s="1"/>
  <c r="F2" i="3"/>
  <c r="H31" i="2"/>
  <c r="I31" i="2" s="1"/>
  <c r="K31" i="2" s="1"/>
  <c r="F31" i="2"/>
  <c r="F30" i="2"/>
  <c r="H30" i="2" s="1"/>
  <c r="I30" i="2" s="1"/>
  <c r="K30" i="2" s="1"/>
  <c r="F29" i="2"/>
  <c r="H29" i="2" s="1"/>
  <c r="I29" i="2" s="1"/>
  <c r="K29" i="2" s="1"/>
  <c r="I28" i="2"/>
  <c r="K28" i="2" s="1"/>
  <c r="H28" i="2"/>
  <c r="F28" i="2"/>
  <c r="F27" i="2"/>
  <c r="H27" i="2" s="1"/>
  <c r="I27" i="2" s="1"/>
  <c r="K27" i="2" s="1"/>
  <c r="F26" i="2"/>
  <c r="H26" i="2" s="1"/>
  <c r="I26" i="2" s="1"/>
  <c r="K26" i="2" s="1"/>
  <c r="H25" i="2"/>
  <c r="I25" i="2" s="1"/>
  <c r="K25" i="2" s="1"/>
  <c r="F25" i="2"/>
  <c r="H24" i="2"/>
  <c r="I24" i="2" s="1"/>
  <c r="K24" i="2" s="1"/>
  <c r="F24" i="2"/>
  <c r="I23" i="2"/>
  <c r="K23" i="2" s="1"/>
  <c r="F23" i="2"/>
  <c r="H23" i="2" s="1"/>
  <c r="F22" i="2"/>
  <c r="H22" i="2" s="1"/>
  <c r="I22" i="2" s="1"/>
  <c r="K22" i="2" s="1"/>
  <c r="K21" i="2"/>
  <c r="I21" i="2"/>
  <c r="H21" i="2"/>
  <c r="F21" i="2"/>
  <c r="F20" i="2"/>
  <c r="H20" i="2" s="1"/>
  <c r="I20" i="2" s="1"/>
  <c r="K20" i="2" s="1"/>
  <c r="F19" i="2"/>
  <c r="H19" i="2" s="1"/>
  <c r="I19" i="2" s="1"/>
  <c r="K19" i="2" s="1"/>
  <c r="H18" i="2"/>
  <c r="I18" i="2" s="1"/>
  <c r="K18" i="2" s="1"/>
  <c r="F18" i="2"/>
  <c r="F17" i="2"/>
  <c r="H17" i="2" s="1"/>
  <c r="I17" i="2" s="1"/>
  <c r="K17" i="2" s="1"/>
  <c r="F16" i="2"/>
  <c r="H16" i="2" s="1"/>
  <c r="I16" i="2" s="1"/>
  <c r="K16" i="2" s="1"/>
  <c r="F15" i="2"/>
  <c r="H15" i="2" s="1"/>
  <c r="I15" i="2" s="1"/>
  <c r="K15" i="2" s="1"/>
  <c r="K14" i="2"/>
  <c r="I14" i="2"/>
  <c r="F14" i="2"/>
  <c r="H14" i="2" s="1"/>
  <c r="F13" i="2"/>
  <c r="H13" i="2" s="1"/>
  <c r="I13" i="2" s="1"/>
  <c r="K13" i="2" s="1"/>
  <c r="F12" i="2"/>
  <c r="H12" i="2" s="1"/>
  <c r="I12" i="2" s="1"/>
  <c r="K12" i="2" s="1"/>
  <c r="I11" i="2"/>
  <c r="K11" i="2" s="1"/>
  <c r="H11" i="2"/>
  <c r="F11" i="2"/>
  <c r="F10" i="2"/>
  <c r="H10" i="2" s="1"/>
  <c r="I10" i="2" s="1"/>
  <c r="K10" i="2" s="1"/>
  <c r="F9" i="2"/>
  <c r="H9" i="2" s="1"/>
  <c r="I9" i="2" s="1"/>
  <c r="K9" i="2" s="1"/>
  <c r="I8" i="2"/>
  <c r="K8" i="2" s="1"/>
  <c r="H8" i="2"/>
  <c r="F8" i="2"/>
  <c r="F7" i="2"/>
  <c r="H7" i="2" s="1"/>
  <c r="I7" i="2" s="1"/>
  <c r="K7" i="2" s="1"/>
  <c r="F6" i="2"/>
  <c r="H6" i="2" s="1"/>
  <c r="I6" i="2" s="1"/>
  <c r="K6" i="2" s="1"/>
  <c r="I5" i="2"/>
  <c r="K5" i="2" s="1"/>
  <c r="H5" i="2"/>
  <c r="F5" i="2"/>
  <c r="F4" i="2"/>
  <c r="H4" i="2" s="1"/>
  <c r="I4" i="2" s="1"/>
  <c r="K4" i="2" s="1"/>
  <c r="F3" i="2"/>
  <c r="H3" i="2" s="1"/>
  <c r="I3" i="2" s="1"/>
  <c r="K3" i="2" s="1"/>
  <c r="I2" i="2"/>
  <c r="K2" i="2" s="1"/>
  <c r="H2" i="2"/>
  <c r="F2" i="2"/>
  <c r="F32" i="2" s="1"/>
  <c r="I32" i="7" l="1"/>
  <c r="K2" i="5"/>
  <c r="I32" i="5"/>
  <c r="K2" i="8"/>
  <c r="I32" i="8"/>
  <c r="F32" i="3"/>
  <c r="F32" i="5"/>
  <c r="F32" i="4"/>
  <c r="F32" i="9"/>
  <c r="F32" i="6"/>
  <c r="F32" i="10"/>
  <c r="I32" i="6"/>
  <c r="F32" i="8"/>
  <c r="K2" i="6"/>
  <c r="F32" i="7"/>
  <c r="H2" i="11"/>
  <c r="I2" i="11" s="1"/>
  <c r="K2" i="11" s="1"/>
</calcChain>
</file>

<file path=xl/sharedStrings.xml><?xml version="1.0" encoding="utf-8"?>
<sst xmlns="http://schemas.openxmlformats.org/spreadsheetml/2006/main" count="1456" uniqueCount="724">
  <si>
    <t>Instructions for Using This Workbook</t>
  </si>
  <si>
    <t>Welcome to the Compiled ISI PEA/PEB Test Tracker.</t>
  </si>
  <si>
    <t>Crucially, ALL ORIGINAL FORMULAS HAVE BEEN PRESERVED so you can automatically calculate your score.</t>
  </si>
  <si>
    <t>HOW TO REUSE THESE SHEETS FOR YOUR OWN CBT ATTEMPTS:</t>
  </si>
  <si>
    <t>2. Generate and download the CSV containing your test attempt.</t>
  </si>
  <si>
    <t>3. Copy your answers directly from your generated CSV.</t>
  </si>
  <si>
    <t>4. Open this workbook and navigate to the respective year's sheet.</t>
  </si>
  <si>
    <t>5. Paste your attempt into the designated column (e.g., 'My Attempt' or 'Your Attempt').</t>
  </si>
  <si>
    <t>6. The preserved Excel formulas will automatically evaluate your pasted answers against the answer key and update your score!</t>
  </si>
  <si>
    <t>Serial Number</t>
  </si>
  <si>
    <t>Question Text</t>
  </si>
  <si>
    <t>Option Correct Symbol</t>
  </si>
  <si>
    <t>Option Correct Text</t>
  </si>
  <si>
    <t>My Attempt</t>
  </si>
  <si>
    <t>Marks</t>
  </si>
  <si>
    <t>Time Taken (Sec)</t>
  </si>
  <si>
    <t>Result</t>
  </si>
  <si>
    <t># of Incorrect</t>
  </si>
  <si>
    <t>Question ID</t>
  </si>
  <si>
    <t>Questions incorrect or Unattempted</t>
  </si>
  <si>
    <t>Q with Doubts</t>
  </si>
  <si>
    <t xml:space="preserve">Problems specific To some questions </t>
  </si>
  <si>
    <t>Consider the polynomial P(x) = ax3 + bx2 + cx + d, where a, b, c, d âˆˆ{1, 2, . . . , 9}. If P(10) = 5861, then the value of c is</t>
  </si>
  <si>
    <t>C</t>
  </si>
  <si>
    <t>5 .</t>
  </si>
  <si>
    <t>Let A âŠ‚R, f : A â†’R be a twice continuously diï¬€erentiable function, and xâˆ—âˆˆA be such that âˆ‚f âˆ‚x (xâˆ—) = 0</t>
  </si>
  <si>
    <t>B</t>
  </si>
  <si>
    <t>âˆ‚2f âˆ‚x2 (xâˆ—) â‰¤0 is a necessary condition for xâˆ—to be a point of local maximum of f on A</t>
  </si>
  <si>
    <t>You are given ï¬ve observations x1, x2, x3, x4, x5 on a variable x, ordered from lowest to highest. Suppose x5 is increased. Then,</t>
  </si>
  <si>
    <t>D</t>
  </si>
  <si>
    <t>The variance increases but the mean and the median are unchanged.</t>
  </si>
  <si>
    <t>Suppose the sum of coeï¬ƒcients in the expansion (x + y)n is 4096. The largest coeï¬ƒcient in the expansion is:</t>
  </si>
  <si>
    <t>A</t>
  </si>
  <si>
    <t>There are three cards. The ï¬rst is green on both sides, the second is red on both sides and the third is green on one side and red on the other. I choose a card with equal probability, then a side of that card with equal probability. If the side I choose of the card is green, what is the probability that the other side is green?</t>
  </si>
  <si>
    <t>1 3.</t>
  </si>
  <si>
    <t xml:space="preserve">The answer here given for the answer key I think As the probability of  Choosing the green card on the first try is higher The card where Both sides are green </t>
  </si>
  <si>
    <t>The value of Z Ï€ 2 0 x sin xdx is:</t>
  </si>
  <si>
    <t>1 2.</t>
  </si>
  <si>
    <t>Let f : R â†’R be deï¬ned as follows: f(x) = ( ax + b if x â‰¥0 sin 2x if x &lt; 0 For what values of a and b is f continuous but not diï¬€erentiable?</t>
  </si>
  <si>
    <t>a = 1, b = 0</t>
  </si>
  <si>
    <t>A student wished to regress household food consumption on household income. By mistake the student regressed household income on household food consumption and found R2 to be 0.35. The R2 in the correct regression of household food consumption on household income is</t>
  </si>
  <si>
    <t xml:space="preserve">I did not know the theory behind this question explain this Like Doesn’t matter If you are Regress Your independent variable over the dependent variable or the dependent variable over the independent variable the value of R Square would be same And is it because The OLS regression is being followed then R Square Numerically equal to square of the correlation </t>
  </si>
  <si>
    <t>Let f : R2 â†’R be deï¬ned by f(x, y) = 3xey âˆ’x3 âˆ’e3y Which of the following statements is true?</t>
  </si>
  <si>
    <t>(x = 1, y = 0) is a local maximum of f</t>
  </si>
  <si>
    <t>Let f(x) = x + âˆš 3 1 âˆ’ âˆš 3x for all x Ì¸= 1 âˆš 3. What is the value of f(f(x))?</t>
  </si>
  <si>
    <t>x+ âˆš 3 1âˆ’ âˆš 3x.</t>
  </si>
  <si>
    <t xml:space="preserve">So I was able to find the answer to this but I don’t know Why such questions are asked like is there some Pattern or arrangement I can do because I always need to substitute The and solve the composite function directly </t>
  </si>
  <si>
    <t>The continuous random variable X has probability density f(x) where f(x) = ï£± ï£´ ï£² ï£´ ï£³ a if 0 â‰¤x &lt; k b if k â‰¤x â‰¤1 0 otherwise where a &gt; b &gt; 0 and 0 &lt; k &lt; 1. Then E(X) is given by:</t>
  </si>
  <si>
    <t>The set of values of x for which x2 âˆ’3|x| + 2 &lt; 0 is given by:</t>
  </si>
  <si>
    <t>None of the above.</t>
  </si>
  <si>
    <t>The system of linear equations (4d âˆ’1)x + y + z = 0 âˆ’y + z = 0 (4d âˆ’1)z = 0 has a non-zero solution if:</t>
  </si>
  <si>
    <t>d = 0.</t>
  </si>
  <si>
    <t xml:space="preserve">I totally did not understand this question They're asking for a non zero solution But it is a homogeneous equation Meaning there will always be a solution when all the variables are zero So there should be no condition on D </t>
  </si>
  <si>
    <t>Suppose F is a cumulative distribution function of a random variable x distributed in [0, 1] deï¬ned as follows: F(x) = ( ax + b if x â‰¥a x2 âˆ’x + 1 otherwise where a âˆˆ(0, 1) and b is a real number. Which of the following is true?</t>
  </si>
  <si>
    <t>F is not continuous at x = a.</t>
  </si>
  <si>
    <t xml:space="preserve">My conclusion for the option incorrect question was as follows I applied the piecewise function definition evaluating it at zero which is strictly less than A according to the problem Therefore the second half of the definition should be used and that is evaluating to 1 . Now understand That this means that the Cumulative  distribution function Evaluated at Is equal to one  . Meaning the probability distribution is as follows All of the probability is a concentrated at zero But then with the piecewise definition given When X is greater than We have a strictly increasing distribution function definition Which shouldn't be possible As the function is attained its maximum value already at zero </t>
  </si>
  <si>
    <t>The solution of the optimization problem max x,y 3xy âˆ’y3 subject to 2x + 5y â‰¥20 x âˆ’2y = 5 x, y â‰¥0 is given by:</t>
  </si>
  <si>
    <t>x = 19, y = 7.</t>
  </si>
  <si>
    <t>Let f : R â†’R be a strictly increasing function. Let g be the inverse of the function f. If f â€²(1) = g(1) = 1, then gâ€²(1) equals to</t>
  </si>
  <si>
    <t>Consider a quadratic polynomial P(x). Suppose P(1) = âˆ’3, P(âˆ’1) = âˆ’9, P(âˆ’2) = 0. Then, which of the following is true.</t>
  </si>
  <si>
    <t>P _x0010_ 5 2 _x0011_ = 0</t>
  </si>
  <si>
    <t xml:space="preserve">I did this by analysing The functional graph But how would one do this formally </t>
  </si>
  <si>
    <t>For any positive integers k, â„“with k â‰¥â„“, let C(k, â„“) denote the number of ways in which â„“distinct objects can be chosen from k objects. Consider n â‰¥3 distinct points on a circle and join every pair of points by a line segment. If we pick three of these line segments uniformly at random, what is the probability that we choose a triangle?</t>
  </si>
  <si>
    <t>2 nâˆ’1</t>
  </si>
  <si>
    <t xml:space="preserve">Desai guessed the answer Tell me How would I solve this </t>
  </si>
  <si>
    <t>Let X = n (x, y) âˆˆR2 : x + y â‰¤1, 2x + y 2 â‰¤1, x â‰¥0, y â‰¥0 o . Consider the optimization problem of maximizing a function f(x) = ax + by, where a, b are real numbers, subject to the constraint that (x, y) âˆˆX. Which of the following is not an optimal value of f for any value of a and b?</t>
  </si>
  <si>
    <t>x = 0, y = 1</t>
  </si>
  <si>
    <t>Let F : [0, 1] â†’R be a diï¬€erentiable function such that its derivative F â€²(x) is increasing in x. Which of the following is true for every x, y âˆˆ[0, 1] with x &gt; y?</t>
  </si>
  <si>
    <t>F(x) âˆ’F(y) â‰¤(x âˆ’y)F â€²(x)</t>
  </si>
  <si>
    <t>A bag contains N balls of which a(a &lt; N) are red. Two balls are drawn from the bag without replacement. Let p1 denote the probability that the ï¬rst ball is red and p2 the probability that the second ball is red. Which of the following statements is true?</t>
  </si>
  <si>
    <t>p1 &lt; p2</t>
  </si>
  <si>
    <t>Let t = x + âˆš x2 + 2bx + c where b2 &gt; c. Which of the following statements is true?</t>
  </si>
  <si>
    <t xml:space="preserve">Couldn't understand how to solve this problem </t>
  </si>
  <si>
    <t>Let A be an n Ã— n matrix whose entry on the i -th row and j -th column is min(i, j). The determinant of A is:</t>
  </si>
  <si>
    <t>What is the number of non-negative integer solutions of the equation x1 + x2 + x3 = 10?</t>
  </si>
  <si>
    <t>For b &gt; 0, the value of R 2b b xdx x2 + b2</t>
  </si>
  <si>
    <t>1 2 ln _x0010_ 5 2 _x0011_</t>
  </si>
  <si>
    <t xml:space="preserve">It took me a lot of time I had to first substitute X is equals to B Tan Square and as you can see all of that substitutions Solving it took a lot of time </t>
  </si>
  <si>
    <t>Let f and g be functions on R2 deï¬ned respectively by f(x, y) = 1 3x3 âˆ’3 2y2 + 2x and g(x, y) = x âˆ’y Consider the problems of maximizing and minimizing f on the constraint set C = {(x, y) âˆˆR2 : g(x, y) = 0}</t>
  </si>
  <si>
    <t>f has neither a maximum nor a minimum.</t>
  </si>
  <si>
    <t xml:space="preserve">The problem here doesn't specify whether they are finding the local max or min or the global max or min . I answered assuming the latter And as Set over which we needed to find was not bounded Going to minus Infinity to Infinity Therefore I gave the answer as Given </t>
  </si>
  <si>
    <t>A particular menâ€™s competition has an unlimited number of rounds. In each round, every participant has to complete a task. The probability of a participant completing the task in a round is p. If a participant fails to complete the task in a round, he is eliminated from the competition. He participates in every round before being elimi- nated. The competition begins with three participants. The probability that all three participants are eliminated in the same round is:</t>
  </si>
  <si>
    <t>1 3(1 âˆ’p)</t>
  </si>
  <si>
    <t>Three married couples sit down at a round table at which there are six chairs. All of the possible seating arrangements of the six people are equally likely. The probability that each husband sits next to his wife is:</t>
  </si>
  <si>
    <t>4 15.</t>
  </si>
  <si>
    <t xml:space="preserve">Got really exhausted and it totally skipped my mind After ending the exam it came to my mind that I could have grouped The couples together Fixing One of the And then Counted for the internal permutations </t>
  </si>
  <si>
    <t>Let f : R2 â†’R be a function. For every x, y, z âˆˆR, we know that f(x, y) + f(y, z)+ f(z, x) = 0. Then, for every x, y âˆˆR2, f(x, y) âˆ’f(x, 0) + f(y, 0) =</t>
  </si>
  <si>
    <t>None of the above</t>
  </si>
  <si>
    <t>The minimum value of the expression below for x &gt; 0 is: _x0010_ x + 1 x _x0011_6 âˆ’ _x0010_ x6 + 1 x6 _x0011_ âˆ’2 _x0010_ x + 1 x _x0011_3 + _x0010_ x3 + 1 x3 _x0011_</t>
  </si>
  <si>
    <t xml:space="preserve">Made a silly mistake of applying the wrong formula for A + B whole cube </t>
  </si>
  <si>
    <t>The dimension of the space spanned by the vectors (âˆ’1, 0, 1, 2), (âˆ’2, âˆ’1, 0, 1), (âˆ’3, 2, 0, 1) and (0, 0, âˆ’1, 1) is</t>
  </si>
  <si>
    <t>How many onto functions are there from a set A with m &gt; 2 elements to a set B with 2 elements?</t>
  </si>
  <si>
    <t>2m −2</t>
  </si>
  <si>
    <t>The function f : R2 + â†’R given by f(x, y) = xy is</t>
  </si>
  <si>
    <t>quasiconcave but not concave</t>
  </si>
  <si>
    <t>A function f : R2 + â†’R given by f(x, y) = xy is</t>
  </si>
  <si>
    <t>homogeneous of degree 2</t>
  </si>
  <si>
    <t>You have n observations on rainfall in centimeters (cm) at a certain location, denoted by x, and you calculate the standard deviation, variance and coeï¬ƒcient of variation (CV). Now, if instead, you were given the same observations measured in millimeters (mm), then</t>
  </si>
  <si>
    <t>the standard deviation would increase by a factor of 10, the variance by a factor of 100 and the CV would be unchanged</t>
  </si>
  <si>
    <t xml:space="preserve">How do we do these type of questions Do we just understand the units of the Quantity wear measuring And then just apply normal dimensional analysis conversion </t>
  </si>
  <si>
    <t>You have n observations on rainfall in centimeters (cm) at two locations, denoted by x and y respectively, and you calculate the covariance, correlation coeï¬ƒcient r, and the slope coeï¬ƒcient b of the regression of y on x. Now, if instead, you were given the same observations measured in millimeters (mm), then</t>
  </si>
  <si>
    <t>the covariance would increase by a factor of 100 and b and r would be unchanged</t>
  </si>
  <si>
    <t xml:space="preserve">For this side heard that regression is dependent on scale Then how does that work If the Coefficient of regression is not dependent on scale </t>
  </si>
  <si>
    <t>Let 0 &lt; p &lt; 1. Any solution (xâˆ—, yâˆ—) of the constrained maximization problem max x,y _x0012_âˆ’1 x + y _x0013_ subject to px + y â‰¤10 x, y â‰¥0 must satisfy</t>
  </si>
  <si>
    <t>x∗= 1/√p</t>
  </si>
  <si>
    <t xml:space="preserve">Made a mistake of Wrongly a Applying Value in the objective function Where it should have been its reciprocal but I switched it   </t>
  </si>
  <si>
    <t>Suppose the matrix equation Ax = b has no solution, where A is 3 Ã— 3 non-zero matrix of real numbers and b is a 3 Ã— 1 vector of real numbers. Then</t>
  </si>
  <si>
    <t>Ax = 0 has a non-zero solution</t>
  </si>
  <si>
    <t>k people get oï¬€a plane and walk into a hall where they are assigned to at most n queues. The number of ways in which this can be done is</t>
  </si>
  <si>
    <t>n(n + 1) . . . (n + k −1)</t>
  </si>
  <si>
    <t>If Pr(A) = Pr(B) = p, then Pr(A âˆ©B) must be</t>
  </si>
  <si>
    <t>none of the above</t>
  </si>
  <si>
    <t>If Pr(Ac) = Î± and Pr(Bc) = Î² (where Ac denotes the event â€not Aâ€), then Pr(A âˆ©B) must be</t>
  </si>
  <si>
    <t>greater than or equal to 1 −α −β</t>
  </si>
  <si>
    <t xml:space="preserve">I had relied on the previous insight from the question and Justice Mark did that both sets again could be disjoint and therefore could be zero But what is different fundamentally here </t>
  </si>
  <si>
    <t>The density function of a normal distribution with mean Âµ and standard deviation Ïƒ has inï¬‚ection points at</t>
  </si>
  <si>
    <t>µ −σ, µ + σ</t>
  </si>
  <si>
    <t xml:space="preserve">Major silly mistake Thinking that they are asking about the distribution function instead of density </t>
  </si>
  <si>
    <t>In how many ways can ï¬ve objects be placed in a row if two of them cannot be placed next to each other?</t>
  </si>
  <si>
    <t>Suppose x = 0 is the only solution to the matrix equation Ax = 0 where A is m Ã— n, x is n Ã— 1, and 0 is m Ã— 1. Then, of the two statements (i) The rank of A is n, and (ii) m â‰¥n</t>
  </si>
  <si>
    <t>Both (i) and (ii) must be true</t>
  </si>
  <si>
    <t>Mr. A is selling raï¬„e tickets which cost 1 rupee per ticket. In the queue for tickets there are n people. One of them has only a 2-rupee coin while all the rest have 1-rupee coins. Each person in the queue wants to buy exactly one ticket and each arrangement in the queue is equally likely to occur. Initially, Mr. A has no coins and enough tickets for everyone in the queue. He stops selling tickets as soon as he is unable to give the required change. The probability that he can sell tickets to all people in the queue is</t>
  </si>
  <si>
    <t>n−1 / n</t>
  </si>
  <si>
    <t xml:space="preserve">Made a silly mistake of Note apply the total - Bad conditions </t>
  </si>
  <si>
    <t>Out of 800 families with ï¬ve children each, how many families would you expect to have either 2 or 3 boys. Assume equal probabilities for boys and girls.</t>
  </si>
  <si>
    <t>The function f : R â†’R given by f(x) = ï£± ï£² ï£³ x |x|, if x Ì¸= 0 1 if x = 0 is</t>
  </si>
  <si>
    <t>neither concave nor convex</t>
  </si>
  <si>
    <t xml:space="preserve">For this question I straight away use the Property that If a function is concave or convex They require it to be continuous in The Interior domain excluding the Boundaries Is this correct </t>
  </si>
  <si>
    <t>As n â†’âˆž, the sequence n n2+1 2n2+3 o</t>
  </si>
  <si>
    <t>converges to 1/2</t>
  </si>
  <si>
    <t>The function x1/3 is</t>
  </si>
  <si>
    <t>continuous at x = 0</t>
  </si>
  <si>
    <t>The function sin(log x), where x &gt; 0</t>
  </si>
  <si>
    <t>is bounded but does not converge as x →∞</t>
  </si>
  <si>
    <t>For any two functions f1 : [0, 1] â†’R and f2 : [0, 1] â†’R, deï¬ne the function g : [0, 1] â†’R as g(x) = max(f1(x), f2(x)) for all x âˆˆ[0, 1].</t>
  </si>
  <si>
    <t>If f1 and f2 are convex, then g is convex</t>
  </si>
  <si>
    <t xml:space="preserve">For this I guess the answers option C Because they couldn't disprove How does one prove this question </t>
  </si>
  <si>
    <t>Let f : R â†’R be the function deï¬ned as f(x) = x3 âˆ’3x Find the maximum value of the f(x) on the set of real numbers satisfying x4+36 â‰¤13x2.</t>
  </si>
  <si>
    <t>A monkey is sitting on 0 on the real line in period 0. In every period t âˆˆ{0, 1, 2, . . .} it moves 1 to the right with probability p and 1 to the left with probability 1 âˆ’p, where p âˆˆ h 1 2, 1 i . Let Ï€k denote the probability that the monkey will reach positive integer k in some period t &gt; 0. The value of Ï€k for any positive integer k is</t>
  </si>
  <si>
    <t>Refer to the previous question. Suppose p = 1 2 and Ï€k denote the probability that the monkey will reach positive integer k in some period t &gt; 0. The value of Ï€0 is</t>
  </si>
  <si>
    <t xml:space="preserve">This comes from the property of null recurrence in one But how does one prove this as I knew this What if some other question come </t>
  </si>
  <si>
    <t>Suppose f : R â†’R is a diï¬€erentiable function with f â€²(x) &gt; 0 for all x âˆˆR and satisfying the property lim xâ†’âˆ’âˆžf(x) â‰¥0 Which of the following must be true?</t>
  </si>
  <si>
    <t>f(1) &gt; 0</t>
  </si>
  <si>
    <t>For what values of x is x2 âˆ’3x âˆ’2 &lt; 10 âˆ’2x</t>
  </si>
  <si>
    <t>−3 &lt; x &lt; 4</t>
  </si>
  <si>
    <t>e2 Z e 1 x (log x)3dx =</t>
  </si>
  <si>
    <t>The solution of the system of equations x âˆ’2y + z = 7 2x âˆ’y + 4z = 17 3x âˆ’2y + 2z = 14 is</t>
  </si>
  <si>
    <t>Let f : R2 â†’R be a twice-diï¬€erentiable function with non-zero second partial deriva- tives. Suppose that for every x âˆˆR, there is a unique value of y, say yâˆ—(x), that solves the problem max yâˆˆR f(x, y) Then yâˆ—is increasing in x if</t>
  </si>
  <si>
    <t>∂2f / ∂x∂y &gt; 0</t>
  </si>
  <si>
    <t xml:space="preserve">This was a really good question I first tried with envelope theorem But got stuck there  And finally had to rely on Constructing a rough visualisation of a 3D function where such a property would hold And then seeing that in at least that function If The function of optimum y Given some mix is increasing in X Then in the 3D coordinate space the graph At the minimum would look like Something of A Tunnel With Tunnel locus being given by something that With the tunnel locus given by something that is acting as a function of X For by Where eggs increasing Leads to Y increasing Therefore in such a Space coordinate space If you're at the maximum at a tun Point On the Locus And if you deviate To the right Using egg Then now the maximum Is lying straight ahead of you In that For that X And there The derivative of y at such a point is positive, So it is kind of like acting Rate of change of The derivative of Y With some positive change in Is leading to Positive derivative But this was very informal How does one do it Formally </t>
  </si>
  <si>
    <t>Z 3 âˆš2x+1dx =</t>
  </si>
  <si>
    <t>3 √2x+1√2x + 1 / ln 3 − 3 √2x+1 / (ln 3)2 + c</t>
  </si>
  <si>
    <t>Attempted Option</t>
  </si>
  <si>
    <t xml:space="preserve">Questions with doubts </t>
  </si>
  <si>
    <t>A researcher has 100 hours of work...</t>
  </si>
  <si>
    <t>Proposal I is Pareto efficient but Proposal II is not.</t>
  </si>
  <si>
    <t>The industry demand curve for tea is...</t>
  </si>
  <si>
    <t>perfect competition and first degree price discrimination</t>
  </si>
  <si>
    <t xml:space="preserve">Why did this question had to specify that average total cost is constant Even if it is not constant isn't a perfect competition in first degree pricing always Optimal solution meaning without any deadweight loss </t>
  </si>
  <si>
    <t>The following information will be used...</t>
  </si>
  <si>
    <t>Refer to the previous question. Suppose the government...</t>
  </si>
  <si>
    <t>Mr. X has an exogenous income W...</t>
  </si>
  <si>
    <t>$\frac{[p(a) - p(0),U(W - T) - U(W)]}{a^2}$</t>
  </si>
  <si>
    <t>Suppose Mr. X maximizes inter-temporal utility...</t>
  </si>
  <si>
    <t>$T = 0$</t>
  </si>
  <si>
    <t xml:space="preserve">I solved it like this that Government Mandated savings is acting like a cost on the total income And Utility is strictly positive in income Therefore any cost should be  Minimised </t>
  </si>
  <si>
    <t>Suppose there is one company in an economy...</t>
  </si>
  <si>
    <t>real GDP decreases, price decreases</t>
  </si>
  <si>
    <t xml:space="preserve">For this question I understood that GDP with decre But I guessed the movement of prices how One understand that </t>
  </si>
  <si>
    <t>A monopolist faces a demand function, $p = 10 - q$...</t>
  </si>
  <si>
    <t>Consider a firm facing three consumers, 1, 2, and 3...</t>
  </si>
  <si>
    <t>(7,6,9)</t>
  </si>
  <si>
    <t xml:space="preserve">Is there a general method to understand where mixed ty Mix tying outcome The price vector here is given by that Is non optimal or exactly which option would be optimal For such question </t>
  </si>
  <si>
    <t>Two individuals, Bishal (B) and Julie (J)...</t>
  </si>
  <si>
    <t>$Q_B = 120; Q_J = 120; P = 30$</t>
  </si>
  <si>
    <t>The next three questions (11,12,13) are to be answered...</t>
  </si>
  <si>
    <t>$\frac{1-c}{1-c(1-t)}$</t>
  </si>
  <si>
    <t>Refer to the previous question. Suppose the marginal...</t>
  </si>
  <si>
    <t>In the IS-LM model, a policy plan to increase...</t>
  </si>
  <si>
    <t>contractionary fiscal policy, expansionary monetary policy</t>
  </si>
  <si>
    <t>Consider the IS-LM-BP model with flexible exchange rates...</t>
  </si>
  <si>
    <t>lower, higher, higher</t>
  </si>
  <si>
    <t>Consider a Solow model of an economy that is...</t>
  </si>
  <si>
    <t>$\frac{\partial c}{\partial k} = \alpha Ak^{\alpha-1} - (n + \delta) = 0$</t>
  </si>
  <si>
    <t>In the Ramsey model, also known as the optimal...</t>
  </si>
  <si>
    <t>$n + g, n + g, n + g$</t>
  </si>
  <si>
    <t>Note says "don't know"</t>
  </si>
  <si>
    <t>Consider the standard formulation of the Philips Curve...</t>
  </si>
  <si>
    <t>increase</t>
  </si>
  <si>
    <t>Consider a Harrod-Domar style growth model with a...</t>
  </si>
  <si>
    <t>$AK &lt; BL$</t>
  </si>
  <si>
    <t>The next two questions (20 and 21) are to be answered...</t>
  </si>
  <si>
    <t>leave the km driven per person unchanged</t>
  </si>
  <si>
    <t>Refer to the information given in the previous question...</t>
  </si>
  <si>
    <t xml:space="preserve">For this quest Maximising with the summation of all the utilities was proving to be difficult so I thought of how to How will I individual maximises utility Given a tax per unit of the kilometres   And that gave me insight that Maybe tax will not change as population increases </t>
  </si>
  <si>
    <t>The production function: $F(L, K) = (L + 10)^{1/2} K^{1/2}$ has...</t>
  </si>
  <si>
    <t>decreasing returns to scale</t>
  </si>
  <si>
    <t xml:space="preserve">I cant understand how this is a decreasing returns to scale As the function is given I can't pull out Multiplier from the Part of the function that is In addition to a constant Can we still classify such functions as a particular returns to scale </t>
  </si>
  <si>
    <t>Consider the production functions: $F(L, K) = L^{1/2} K^{2/3}$...</t>
  </si>
  <si>
    <t>F is consistent with the law of diminishing returns to capital but G is not</t>
  </si>
  <si>
    <t>A public good is one that is non-rivalrous and non-excludable...</t>
  </si>
  <si>
    <t>Neither is a public good</t>
  </si>
  <si>
    <t xml:space="preserve">Both the cable TV and the road are non excludable and non rival Then how are they not public goods </t>
  </si>
  <si>
    <t>Firm A’s cost of producing output level $y &gt; 0$...</t>
  </si>
  <si>
    <t>B can operate in a perfectly competitive industry but A cannot</t>
  </si>
  <si>
    <t>Suppose we generally refer to a New Keynesian model...</t>
  </si>
  <si>
    <t>horizontal, upward sloping</t>
  </si>
  <si>
    <t xml:space="preserve">For this question it isnt told that Like if we are falling sticky prices does that mean that all firms are following sticky prices Not like Lucas Island model Where we derive that some proportion are following sticky prices and some proportion of firms are following Latest prices Same for sticky wages </t>
  </si>
  <si>
    <t>With perfect capital mobility, and . . ., monetary policy...</t>
  </si>
  <si>
    <t>fixed exchange rates, ineffective</t>
  </si>
  <si>
    <t>The next three questions (28,29 and 30) use the following...</t>
  </si>
  <si>
    <t>the left and top edges of the box</t>
  </si>
  <si>
    <t>Referring to the information given in the previous question...</t>
  </si>
  <si>
    <t>(0, 1)</t>
  </si>
  <si>
    <t>This question is asking that Could be achieved in some competitive equilibrium  Shouldn't all the points in Contract curve we achievable in Competitive equilibrium Some competitive equilibrium</t>
  </si>
  <si>
    <t>Referring to the information given in the previous two...</t>
  </si>
  <si>
    <t>must be 1</t>
  </si>
  <si>
    <t xml:space="preserve">At price ratio being equal to half That markets of both good x and good y were clearing Then the answer should be any of the above right </t>
  </si>
  <si>
    <t>Suppose that the level of savings varies positively with the level of income and that savings is identically equal to investment. Then the IS curve:</t>
  </si>
  <si>
    <t>is vertical.</t>
  </si>
  <si>
    <t xml:space="preserve">I mark the option as vertical but the answer key is giving it as Option b slopes negatively. My thinking for marking it as vertical was that With the given definition Invest Is directly proportional to Income but has no relation being stated to the interest rate </t>
  </si>
  <si>
    <t>Consider the Solow growth model without technological progress. Suppose that the rate of growth of the labor force is 2%. Then, in the steady-state equilibrium:</t>
  </si>
  <si>
    <t>total income grows at the rate of 2%.</t>
  </si>
  <si>
    <t>Consider a Simple Keynesian Model for a closed economy with government. Suppose there does not exist any public sector enterprise in the economy. Income earners are divided into two groups, Group 1 and Group 2, such that the saving propensity of the former is less than that of the latter. Aggregate planned investment is an increasing function of GDP (Y ). Start with an initial equilibrium situation. Now, suppose the government imposes and collects additional taxes from Group 1 and uses the tax revenue so generated to make transfer payments to Group 2. Following this:</t>
  </si>
  <si>
    <t>aggregate saving in the economy declines.</t>
  </si>
  <si>
    <t xml:space="preserve">I mark the option as aggregate saving in the economy declines but the answer key is giving it as Option c aggregate saving in the economy rises. My thinking of Why this should be the case Money is being transferred to the group with higher savings propensity This would lead to consumption falling And as  Investment is directly proportional to income it falls also and thereby The savings aggregate falls </t>
  </si>
  <si>
    <t>Suppose, in an economy, the level of consumption is ï¬xed, while the level of investment varies inversely with the rate of interest. Then the IS curve is:</t>
  </si>
  <si>
    <t>negatively sloped.</t>
  </si>
  <si>
    <t>With this definition that the question has given for the economy Will be having no multiplier effect Just the initial effect of Investment changing as consumption is not dependent on income Correct</t>
  </si>
  <si>
    <t>Suppose, in an economy, the demand function for labor is given by: Ld = 100 âˆ’5w whereas the supply function for labor is given by: Ls = 5w where w denotes the real wage rate. Total labor endowment in this economy is 80 units. Suppose further that the real wage rate is ï¬‚exible. Then involuntary unemployment in this economy is:</t>
  </si>
  <si>
    <t xml:space="preserve">Why is the involuntary unemployment 0 The economy is not being employed at the full employment Then shouldn't it be 30 Or am I missing some economic concept </t>
  </si>
  <si>
    <t>Consider again the economy speciï¬ed in Question 5. Suppose now that the real wage rate is mandated by the government to be at least 11. Then total unemployment will be:</t>
  </si>
  <si>
    <t>35 .</t>
  </si>
  <si>
    <t>Consider a macro-economy deï¬ned by the following equations: M = kPy + L(r) S(r) = I(r) y = Â¯y where M, P, y and r represent, respectively, money supply, the price level, output and the interest rate, while k and Â¯y are positive constants. Furthermore, S(r) is the savings function, I(r) is the investment demand function and L(r) is the speculative demand for money function, with , Sâ€²(r) &gt; 0, Iâ€²(r) &lt; 0 and Lâ€²(r) &lt; 0. Then, an increase in M must:</t>
  </si>
  <si>
    <t>increase P more than proportionately.</t>
  </si>
  <si>
    <t xml:space="preserve">I tried solving this question as follows The savings and investment identity is giving the required Interest rate Therefore that Is being found from there And Therefore the change in prices for a change in the money supply Is just being given as the reciprocal of the coefficient of the prices In the Money market Equation </t>
  </si>
  <si>
    <t>Two individuals, X and Y, have to share Rs. 100. The shares of X and Y are denoted by x and y respectively, x, y â‰¥0, x+y = 100. Their utility functions are UX(x, y) = x+ _x0010_ 1 4 _x0011_ y and UY (x, y) = y + _x0010_ 1 2 _x0011_ x. The social welfare function is W (UX, UY ) = min {UX, UY } . Then the social welfare maximizing allocation is:</t>
  </si>
  <si>
    <t>(60,40)</t>
  </si>
  <si>
    <t>Consider two consumers. They consume one private good (X) and a public good (G). Consumption of the public good depends on the sum of their simultaneously and non- cooperatively chosen contributions towards the public good out of their incomes. Thus, if g1 and g2 are their contributions, then the consumption of the public good is g = g1 +g2. Let the utility function of consumer i(i = 1, 2) be Ui (xi, g) = xig. The price of the private good is p &gt; 0 and the income of each consumer is M &gt; 0. Then the consumersâ€™ equilibrium contributions towards the public good will be:</t>
  </si>
  <si>
    <t>(M/3, M/3)</t>
  </si>
  <si>
    <t xml:space="preserve">What is the formal way of solving such problems With the concept Explain it exhaustively </t>
  </si>
  <si>
    <t>Consider two ï¬rms, 1 and 2 , producing a homogeneous product and competing in Cournot fashion. Both ï¬rms produce at constant marginal cost, but ï¬rm 1 has a lower marginal cost than ï¬rm 2. Speciï¬cally, ï¬rm 1 requires one unit of labour and one unit of raw material to produce one unit of output, while ï¬rm 2 requires two units of labour and one unit of raw material to produce one unit of output. There is no ï¬xed cost. The prices of labour and material are given and the market demand for the product is determined according to the function q = A âˆ’bp, where q is the quantity demanded at price p and A, b &gt; 0. Now, suppose the price of labour goes up, but that of raw material remains the same. Then, the equilibrium proï¬t of ï¬rm 1 will:</t>
  </si>
  <si>
    <t>remain unchanged.</t>
  </si>
  <si>
    <t xml:space="preserve">I answered it remain unchanged because I thought that The effect from its cost increase being costing more Is being overcome By the effect that its competitor is being hit twice as hard by the cost increase </t>
  </si>
  <si>
    <t>Considered again the problem in Question 10. As before, suppose that the price of labour goes up, but that of raw material remains the same. Then, the equilibrium proï¬t of ï¬rm 2 will:</t>
  </si>
  <si>
    <t>decrease.</t>
  </si>
  <si>
    <t>Consider a ï¬rm which initially operates only in market A as a monopolist and faces market demand Q = 20 âˆ’p. Given its cost function C(Q) = 1 4Q2, it charges a monopoly price Pm in this market. Now suppose that, in addition to selling as a monopolist in market A, the ï¬rm starts selling its products in a competitive market, B, at price Â¯p = 6 Under this situation the ï¬rm charges P âˆ— m in market A. Then:</t>
  </si>
  <si>
    <t>P∗_m &gt; Pm</t>
  </si>
  <si>
    <t xml:space="preserve">Is this always the case That when a monopolist finds a new market It Increase the prices of the initial market It was selling goods What is the concept behind this </t>
  </si>
  <si>
    <t>Two consumers, A and B, have utility functions UA = min {xA, yA} and UB = xB+ yB, respectively. Their endowments vectors are eA = (100, 100) and eB = (50, 0) Consider a competitive equilibrium price vector (PX, PY ) . Then,</t>
  </si>
  <si>
    <t>(1/5, 2/5) is one of the many possible equilibrium price vectors.</t>
  </si>
  <si>
    <t xml:space="preserve">The trade is not going to happen as consumer a is at its maximum satisfaction point Possible in this world Therefore shouldn't the Price vector also not exist when trade is not possible </t>
  </si>
  <si>
    <t>Suppose a ï¬rm is a monopsonist in the labor market and faces separate labor supply functions for male and female workers. The labor supply function for male workers is given by lM = (wM)k , where lM is the amount of male labor available when the wage oï¬€ered to male workers is wM, and k is a positive constant. Analogously, the labor supply function for female workers is given by lF = wF. Male and female workers are perfect substitutes for one another. The ï¬rm produces one unit of output from each unit of labor it employs, and sells its output in a competitive market at a price of p per unit. The ï¬rm can pay male and female workers diï¬€erently if it chooses to. Suppose the ï¬rm decides to pay male workers more than female workers. Then it must be the case that:</t>
  </si>
  <si>
    <t>k &gt; 1</t>
  </si>
  <si>
    <t xml:space="preserve">I solve this question by Applying the equality of marginal revenue per labour Being equal to the marginal cost of male labour being equal to the marginal cost of female labour This gave me that the male wage would be K over K + 1 Into P Is this correct </t>
  </si>
  <si>
    <t>Consider the problem in Question 14, and assume that the ï¬rm pays male workers more than female workers. Suppose further that p &gt; 2. Then the ï¬rm must:</t>
  </si>
  <si>
    <t>hire more male workers than female workers.</t>
  </si>
  <si>
    <t>This gave me that the male wage would be K over K + 1 Into P Female wage came out to be Just P by two  When I tried solving the inequality  My answer came that When P is greater than 4 Then they should hire more male labour</t>
  </si>
  <si>
    <t>Consider the system of linear equations: (4a âˆ’1)x + y + z = 0 âˆ’y + z = 0 (4a âˆ’1)z = 0 The value of a for which this system has a non-trivial solution (i.e., a solution other than (0,0,0)) is:</t>
  </si>
  <si>
    <t>1/4.</t>
  </si>
  <si>
    <t>Let f : R â†’R be a convex and diï¬€erentiable function with f(0) = 1, where R denotes the set of real numbers. If the derivative of f at 2 is 2, then the maximum value of f(2) is:</t>
  </si>
  <si>
    <t xml:space="preserve">I solved it as follows That as it is giving that Is a convex function There The derivative is increasing in x Now The derivative At X = 2 is given as 2 Therefore the max When evaluating from the fundamental theorem of calculus  Would only happen when The derivative is two throughout And therefore the double derivative is 0 </t>
  </si>
  <si>
    <t>Consider the equation 2x + 5y = 103. Then how many pairs of positive integer values can (x, y) take such that x &gt; y?</t>
  </si>
  <si>
    <t xml:space="preserve">How does one formally solve this question  I was trying by generating functions but failed there </t>
  </si>
  <si>
    <t>Let X be a discrete random variable with probability mass function (PMF) f(x) such that f(x) &gt; 0 if x = 0, 1, . . . , n, and f(x) = 0 otherwise where n is a ï¬nite integer. If Prob(X â‰¥m | X â‰¤m) = f(m), then the value of m is:</t>
  </si>
  <si>
    <t>none of the above.</t>
  </si>
  <si>
    <t>I did not understand what this question was asking Can you solve it and help me understand what it was asking '</t>
  </si>
  <si>
    <t>Consider the function f(x) = 2ax logc x âˆ’ax2 where a Ì¸= 0. Then</t>
  </si>
  <si>
    <t>the point x = 1 is a point of inﬂexion.</t>
  </si>
  <si>
    <t>Let f : [0, 10] â†’[10, 20] be a continuous and twice diï¬€erentiable function such that f(0) = 10 and f(10) = 20. Suppose |f â€²(x)| â‰¤1 for all x âˆˆ[0, 10]. Then, the value of f â€²â€²(5) is</t>
  </si>
  <si>
    <t>Consider the system of linear equations: x + 2ay + az = 0 x + 3by + bz = 0 x + 4cy + cz = 0 Suppose that this system has a non-zero solution. Then a, b, c</t>
  </si>
  <si>
    <t>are in harmonic progression.</t>
  </si>
  <si>
    <t>Let a, b, c be real numbers. Consider the function f (x1, x2) = min {a âˆ’x1, b âˆ’x2}.Let (xâˆ— 1, xâˆ— 2) be the solution to the maximization problem max f (x1, x2) subject to x1 + x2 = c Then xâˆ— 1 âˆ’xâˆ— 2 equals</t>
  </si>
  <si>
    <t>a − b</t>
  </si>
  <si>
    <t>Suppose that you have 10 diï¬€erent books, two identical bags and a box. The bags can each contain three books and the box can contain four books. The number of ways in which you can pack all the books is</t>
  </si>
  <si>
    <t>10! / (2!3!3!4!)</t>
  </si>
  <si>
    <t xml:space="preserve">I solved this question as following First I divided into Groups of six and 4 And then in the group of 6 I solved For dividing into two identical groups </t>
  </si>
  <si>
    <t>Real numbers a1, a2, . . . , a99 form an arithmetic progression. Suppose that a2 + a5 + a8 + . . . + a98 = 205 Then the value of P99 k=1 ak is</t>
  </si>
  <si>
    <t xml:space="preserve">I solved this question as follows that the only possible value that one could and Take from this question without any more information would be The answer being asked would have the coefficients as a multiple of the Given information But how does one solve this formally </t>
  </si>
  <si>
    <t>A stone is thrown into a circular pond of radius 1 meter. Suppose the stone falls uniformly at random on the area of the pond. The expected distance of the stone from the center of the pond is</t>
  </si>
  <si>
    <t>2/3.</t>
  </si>
  <si>
    <t>Suppose that there are n stairs, where n is some positive integer. A person standing at the bottom wants to reach the top. The person can climb either 1 stair or 2 stairs at a time. Let Tn be the total number of ways in which the person can reach the top. For instance, T1 = 1 and T2 = 2. Then, which one of the following statements is true for every n &gt; 2?</t>
  </si>
  <si>
    <t>Tn = Tn−1 + Tn−2</t>
  </si>
  <si>
    <t xml:space="preserve">Made a silly mistake of understanding that at N = 3  It is equals to three And generalised that </t>
  </si>
  <si>
    <t>Let Y1, Y2, . . . , Yn be the income of n individuals with E (Yi) = Âµ and Var (Yi) = Ïƒ2 for all i = 1, 2, . . . n. These n individuals form m groups, each of size k. It is known that individuals within the same group are correlated but two individuals in diï¬€erent groups are always independent. Assume that when individuals are correlated, the correlation coeï¬ƒcient is the same for all pairs. Consider the random variable Â¯Y = 1 n Pn i=1 Yi. The limiting variance of Â¯Y when m is large but k is ï¬nite is</t>
  </si>
  <si>
    <t xml:space="preserve">Did not understand this question Completely how to solve such a type of question </t>
  </si>
  <si>
    <t>A person makes repeated attempts to destroy a target. Attempts are made independently of each other. The probability of destroying the target in any attempt is 0.8 . Given that he fails to destroy the target in the ï¬rst ï¬ve attempts, the probability that the target is destroyed in the 8 -th attempt is</t>
  </si>
  <si>
    <t xml:space="preserve">Made a silly mistake In multiplication </t>
  </si>
  <si>
    <t>Let E and F be two events such that 0 &lt; Prob(E) &lt; 1 and Prob(E | F)+Prob (E | F c) = 1. Then</t>
  </si>
  <si>
    <t>Prob (Ec | F) + Prob (Ec | F c) = 1</t>
  </si>
  <si>
    <t>Answer</t>
  </si>
  <si>
    <t>Robinson Crusoe will live this period (period 1) and the next period (period 2) as the only inhabitant of his island completely isolated from the rest of the world. His only income is a crop of 100 coconuts that he harvests at the beginning of each period. Coconuts not consumed in the current period spoil at the rate of 20% per period. Crusoeâ€™s preference over consumption in period 1 (c1) and consumption in period 2 (c2) is given by the utility function u (c1, c2) = min {5c1, 6c2} . Crusoeâ€™s utility maximizing consumption choice is given by</t>
  </si>
  <si>
    <t>c1 = 200Ã—6 11 , c2 = 200Ã—5 11 .</t>
  </si>
  <si>
    <t xml:space="preserve">I was able to understand from the graph And the utility function indifference curves cur The answer but how does one do this formally </t>
  </si>
  <si>
    <t>The domestic supply and demand equations for a commodity in a country are as follows: Supply: P = 50+Q, Demand: P = 200âˆ’2Q, where P is the price in rupees per kilogram and Q is the quantity in thousands of kilograms. The country is a small producer in the world market where the price (which will not be aï¬€ected by anything done by this country) is Rs. 60 per kilogram. The government of this country introduces a â€Permit Policyâ€ which works as follows. The government issues a ï¬xed number of Permits - each Permit allows its owner to sell exactly 100 kilograms of the commodity in this countryâ€™s market. An exporter from a foreign country cannot sell this commodity in this country unless she purchases such a Permit. Suppose the government issues 300 Permits. What is the maximum price an exporter is willing to pay for a Permit?</t>
  </si>
  <si>
    <t>Rs. 3000</t>
  </si>
  <si>
    <t xml:space="preserve">Was trying to answer this question but couldn’t understand How I take into account Both the demand curve Of the domestic market The Quantity for permit As well as the domestic supply </t>
  </si>
  <si>
    <t>SeaTel provides cellular phone service in Delhi and has some monopoly power in the sense that it has its captive customer base with each customerâ€™s weekly demand being given by: Q = 60 âˆ’P, where Q denotes hours of cell phone calls per week and P is the price per hour. SeaTelâ€™s total cost of providing cell phone service is given by C = 20Q, so that the marginal cost is MC = 20. Suppose SeaTel oï¬€ers a â€Call-As-Much-As-You- Wishâ€ deal: it charges only a ï¬‚at weekly access fee, and once a customer pays the ï¬‚at access fee, he/she can call as much as he/she wishes without paying any extra usage fee per hour. The weekly access fee that SeaTel should charge to maximize its proï¬t is given by</t>
  </si>
  <si>
    <t xml:space="preserve">Was trying to solve this question Finding the maximum willingness to pay Such that consumers would be indifferent Between buying and not buying The cut off price is 60 And this is per hour so I converted into weekly price My answer came out as that </t>
  </si>
  <si>
    <t>A bus stop has to be located on the interval [0, 1]. There are three individuals located at points 0.2,0.3 and 0.9 on the interval. If the bus stop is located at point x, then the utility of an individual located at y is âˆ’|y âˆ’x|, that is, the negative of the distance between the bus stop and the individualâ€™s location. A relocation of the bus stop is said to be Pareto improving if at least one individual is better oï¬€and no individual is worse oï¬€from the relocation. A location of the bus stop is said to be Pareto eï¬ƒcient if there does not exist any Pareto improving relocation. Then</t>
  </si>
  <si>
    <t>0.5 is the only Pareto eï¬ƒcient location.</t>
  </si>
  <si>
    <t>Consider three goods: a cable television, b a ï¬sh in international waters, and c a burger. Also consider four descriptions of the goods: (A) non-rival and non-excludable, (B) rival and excludable, (C) non-rival and excludable, and (D) rival and nonexcludable. In what follows we match goods to possible descriptions. Choose the correct match.</t>
  </si>
  <si>
    <t>(a) âˆ’(A), (b) âˆ’(C), (c) âˆ’(B)</t>
  </si>
  <si>
    <t>Consider an economy consisting of three individuals -1,2 and 3, two goods âˆ’A and B, and a single monopoly ï¬rm that can produce both goods at zero cost. Each individual would like to buy exactly 1 unit of the goods A and B, if at all. An individualâ€™s valuation of a good is deï¬ned as the maximum amount she is willing to pay for one unit of the good. Individual 1 â€™s valuation of good A is Rs. 10 and that of good B is Rs. 1. Individual 2â€™s valuation of good A is Rs. 1, and that of good B is Rs. 10 . Individual 3 â€™s valuation is Rs. 7 for good A, and Rs. 7 good B. The ï¬rm can charge a single price pA for good A, a single price pB for good B, and a bundled price pAB such that if an individual pays pAB then she gets the bundle consisting of one unit each of goods A and</t>
  </si>
  <si>
    <t>pA = 11, pB = 11, pAB = 11</t>
  </si>
  <si>
    <t>Consider a Bertrand duopoly with two ï¬rms, 1 and 2. Both ï¬rms produce the same good that has a market demand function p = 10 âˆ’q. The market is equally shared in case the ï¬rms charge the same price, otherwise the lower priced ï¬rm gets the entire demand. A ï¬rm must satisfy all the demand coming to it. The cost function of ï¬rm 1 is 3q1, that of ï¬rm 2 is 2q2. Suppose prices vary along the following grid, {0, 0.1, 0.2, . . .}. The Bertrand equilibrium is given by</t>
  </si>
  <si>
    <t>p1 = 2, p2 = 2</t>
  </si>
  <si>
    <t xml:space="preserve">This I was easily able to solve with the given options But in general how do we solve For Bertrand Oligopoly where Firms have different cost structures </t>
  </si>
  <si>
    <t>Consider a monopolist with a market demand function p = 20 âˆ’q. It is a multi-plant monopolist with two plants, plant 1 and plant 2, where the plant speciï¬c cost function of plant i, i = 1, 2, is ci (qi) = ( 2 + 4qi, if qi &gt; 0 0, otherwise The optimal monopoly proï¬t is given by</t>
  </si>
  <si>
    <t>Consider a closed economy in which an individualâ€™s labour supply (L) to ï¬rms is deter- mined by the amount which maximizes her utility function u(C, L) = CÎ±(1âˆ’L)Î², where Î±, Î² &gt; 0, Î± + Î² &lt; 1 and C is consumption expenditure which is taken to be equal to wage income (wL). Then</t>
  </si>
  <si>
    <t>labour supply does not depend on the wage rate w.</t>
  </si>
  <si>
    <t>In the scenario described in Question 9, assume that the economy is Keynesian, that is, investment expenditure (I) is autonomous and output (Y ) is determined by aggregate demand, Y = C + I. The aggregate production function is given by Y = ALÎ¸, where A &gt; 0 is a productivity parameter and 0 &lt; Î¸ &lt; 1. [Note that the ï¬rmâ€™s employment of labour is obtained by equating the marginal product of labour to w.] Then the marginal propensity to consume is</t>
  </si>
  <si>
    <t>a+Î² Î¸ .</t>
  </si>
  <si>
    <t xml:space="preserve">Note I was able to solve the previous question Number 9 The optimal Labour supply Would be beta over alpha plus beta . But here we're solving for a demand determined Market Finding the marginal propensity of consumption there So I got confused Whether I should even use The optimal labour demand equation Or use the labour supply given From the previous question I knew that Consumption would be wage into labour But converting this into A constant into income I couldn't understand the Process </t>
  </si>
  <si>
    <t>Consider a Solow growth model (in continuous time) with a production function with labour augmenting technological change, Yt = F (Kt, AtLt) , where Yt denotes output, Kt denotes the capital stock, At denotes the level of total factor productivity (TFP), and Lt denotes the stock of the labour force. Assume that Lt grows at the rate n &gt; 0 and At grows at the rate g &gt; 0, that is, Ë™L L = n and Ë™A A = g, and the capital accumulation equation is given by Ë™K = sYt âˆ’Î´Kt, where s âˆˆ[0, 1] is the exogenous savings rate, and Î´ âˆˆ[0, 1] is the depreciation rate of capital. [Note that for any variable x, Ë™x denotes dx dt , i Deï¬ne capital in eï¬ƒciency units to be Z â‰¡ K AL. Then the expression for Ë™Z Z is given by</t>
  </si>
  <si>
    <t>Ë™Z Z = sf(Z) Z âˆ’(n + g)</t>
  </si>
  <si>
    <t>In the Solow growth model described in Question 11 , the growth rate of Y at the steady state is given by</t>
  </si>
  <si>
    <t>n + g</t>
  </si>
  <si>
    <t xml:space="preserve">Note I was able to solve the previous question number eleven But for this question When I used the log derivative Formula to convert to growth I was With Growth rate Of the function F of z Now I know that Z is constant But I couldn't understand how I could prove that the function of Z would also be constant </t>
  </si>
  <si>
    <t>Consider an IS-LM model where the IS curve is represented by 0.25Y = 500+Gâˆ’i, and money demand function is given by M P = 2Y e1 . The notations are standard: Y denotes output, G denotes government expenditure, i denotes the interest rate, P is the price level and e is the exponential. Suppose the government wants to increase spending and therefore the central bank decides to change the money supply accordingly such that the interest rate remains the same in the short run. Then the change in money supply satisï¬es the following condition:</t>
  </si>
  <si>
    <t>dM dG = e</t>
  </si>
  <si>
    <t>An agent lives for two periods. Her utility from consumption in period 1 (c1) and con- sumption in period 2 (c2) is given by u (c1, c2) = log (c1) + Î² log (c2) , where 0 &lt; Î² &lt; 1 is the discount factor reï¬‚ecting her time preference. The agent earns incomes w1 in period 1 and w2 in period 2. The rate of interest is r &gt; 0. The agent chooses c1 and c2 so as to maximize u (c1, c2) subject to her budget constraint. Consider a temporary increase in income where w1 increases but the agent does not change her expectations about w2. Then the marginal propensity to consume of present consumption with respect to w1, dc1 dw1, is given by</t>
  </si>
  <si>
    <t>1 1+Î² _x0010_ 1 + 1 1+r _x0011_</t>
  </si>
  <si>
    <t>In the scenario described in Question 14, consider a permanent increase in income where w1 increases and the agent expects that w2 will also increase by the same amount. Then dc1 dw1 is given by</t>
  </si>
  <si>
    <t xml:space="preserve">Note I was able to solve the previous question #14 But I struggle to formally derive how I would be taking the derivative Where the second. Income Is being increased Some expression That shows The change in the first period income </t>
  </si>
  <si>
    <t>For what values of a are the vectors (0, 1, a), (a, 1, 0), (1, a, 1) in R3 linearly dependent?</t>
  </si>
  <si>
    <t>0 .</t>
  </si>
  <si>
    <t xml:space="preserve">Made a silly mistake of thinking the question was for linear independence </t>
  </si>
  <si>
    <t>Which of the following set of vectors form a basis of R2?</t>
  </si>
  <si>
    <t>{(2, 1)}</t>
  </si>
  <si>
    <t>If a candidate is good he is selected in MSQE examination with probability 0.9. If a candidate is bad he is selected in MSQE examination with probability 0.2. Suppose every candidate is equally likely to be good or bad. If you meet a candidate who is selected in the MSQE examination, what is the probability that he will be good?</t>
  </si>
  <si>
    <t>11 20.</t>
  </si>
  <si>
    <t>Let S1 = {2, 3, 4, . . . , 9}. First, an integer s1 is drawn uniformly at random from S1. Then s1 and all its factors are removed from S1. Let the new set be S2. Next an integer s2 is drawn uniformly at random from S2. Then s2 and all its factors are removed from S2. Let the new set be S3. Finally, an integer s3 is drawn uniformly at random from S3. What is the probability that s1 = 2, s2 = 3, s3 = 5?1</t>
  </si>
  <si>
    <t>1 8</t>
  </si>
  <si>
    <t>Mr. A and B are independently tossing a coin. Their coins have a probability 0.25 of coming HEAD. After each of them tossed the coin twice, we see a total of 2HEADS. What is the probability that Mr. A had exactly one HEAD?</t>
  </si>
  <si>
    <t>2 3.</t>
  </si>
  <si>
    <t>Consider the following function f : R â†’R. f(x) = ( x if x â‰¤e x (logc x) if x &gt; e Which of the following is true for f?</t>
  </si>
  <si>
    <t>f is not continuous at e</t>
  </si>
  <si>
    <t>Let f : [âˆ’1, 1] â†’R be a continuous and weakly increasing function such that R 1 âˆ’1 f(x)dx = 2 R 1 âˆ’1 f(âˆ’x)dx. Suppose f(âˆ’1) = 0 then f(1) is</t>
  </si>
  <si>
    <t>Let A âŠ†R and f : A â†’R be a twice continuously diï¬€erentiable function. Let xâˆ—âˆˆA be such that âˆ‚f âˆ‚x (xâˆ—) = 0. Consider the following two statements: (i) if âˆ‚2f âˆ‚2x (xâˆ—) â‰¤0, then xâˆ—is a point of local maximum of f; (ii) if xâˆ—is a point of local maximum of f, then âˆ‚2f âˆ‚x2 (xâˆ—) &lt; 0. Which of the following is true?</t>
  </si>
  <si>
    <t>both (i) and (ii) are correct.</t>
  </si>
  <si>
    <t>Consider the function f(x) = ex for all x âˆˆR. Which of the following is true?</t>
  </si>
  <si>
    <t>f is quasi-convex.</t>
  </si>
  <si>
    <t>Consider the following matrix A. A = ï£® ï£¯ï£° x 0 k 1 x k âˆ’3 0 1 1 ï£¹ ï£ºï£» Suppose determinant of A is zero for two distinct real values of x. What is the least positive integer value of k?</t>
  </si>
  <si>
    <t>1 .</t>
  </si>
  <si>
    <t xml:space="preserve">Made a silly mistake in the calculation of the discriminant </t>
  </si>
  <si>
    <t>Deï¬ne the following function on the set of all positive integers. f(n) = ( 2 Ã— 4 Ã— . . . Ã— (n âˆ’3) Ã— (n âˆ’1) if n is odd 1 Ã— 3 Ã— . . . Ã— (n âˆ’3) Ã— (n âˆ’1) if n is even. What is the value of f(n + 2)f(n + 1)?</t>
  </si>
  <si>
    <t>n!.</t>
  </si>
  <si>
    <t>The sequence {xn}nâ‰¥0 is deï¬ned as follows. We set x0 = 1 and xn = Pnâˆ’1 j=0 xj for each integer n â‰¥1. Then the value of the expression Pâˆž j=0 1 xj is equal to</t>
  </si>
  <si>
    <t>âˆž.</t>
  </si>
  <si>
    <t>For what values of p does the following quadratic equation have more than two solutions (variable in this equation is x )? _x0010_ p2 âˆ’16 _x0011_ x2 âˆ’ _x0010_ p2 âˆ’4p _x0011_ x + _x0010_ p2 âˆ’5p + 4 _x0011_ = 0</t>
  </si>
  <si>
    <t>No such value of p exists.</t>
  </si>
  <si>
    <t>Consider the square with vertices A, B, C, D. Call a pair of vertices in the square adja- cent if they are connected by an edge. You have four colours: RED, BLUE, GREEN, YELLOW. How many ways can you colour the vertices A, B, C, D such that no adjacent vertices share the same colour?</t>
  </si>
  <si>
    <t>I thought this question was very similar to a question where Given some digits We have to construct some N number digit Where the adjacent digits can't be the same, With the complexity Added here that we are thinking in two dimensional adjacency Now in the previous question that I described The constraint was local Therefore thinking in terms of any digit Most easiest should be the first place digit And multiplying with the choices each digit then gets I was able to construct the number of digits Similarly I tried in this case Where Where start with any vertex Describing the number of choices each has Four into three into three into two The last one being restricted by two adjacent vertices This came out to be 72 Did I miss any case</t>
  </si>
  <si>
    <t>Two players P1 and P2 are playing a game which involves ï¬lling the entries of an n Ã— n matrix, where n â‰¥2 is an even integer. Starting with P1, each player takes turn to ï¬ll an unï¬lled entry of the matrix with a real number. The game ends when all entries are ï¬lled. Player P1 wins if the determinant of the ï¬nal matrix is non-zero. Else, player P2 wins. A player i âˆˆ{1, 2} has a winning strategy if irrespective of what the other player does, i wins by following this strategy. Which of the following is true?</t>
  </si>
  <si>
    <t>Player 1 has a winning strategy.</t>
  </si>
  <si>
    <t>For this question I first analyse the case Of 2 Two matrix Their player too had a winning strategy And in General I could see that Play 2 Just needed to make One of the columns Equal to one of the other columns This was being able to be done in the four cross 4 case also But how does man answer this question Formally</t>
  </si>
  <si>
    <t>Consider the functions f(x) = ( x sin _x0010_ 1 x _x0011_ if x Ì¸= 0 0 if x = 0 and g(x) = ( x2 sin _x0010_ 1 x _x0011_ if x Ì¸= 0 0 if x = 0 Then</t>
  </si>
  <si>
    <t>f is diï¬€erentiable at zero but g is not diï¬€erentiable at zero</t>
  </si>
  <si>
    <t>How many ordered pairs of numbers (x, y) are there where x,y âˆˆ{1.2, . . . .100}. such that |x âˆ’y| â‰¤50?</t>
  </si>
  <si>
    <t xml:space="preserve">I was able to roughly estimate through areas in the continuous domain That answer should be greater than 7500 But the exact calculation I could not do </t>
  </si>
  <si>
    <t>Let ABC be a right angled isosceles triangle with angle âˆ ABC being right-angled. Let D be the mid-point of AB.E be the foot of the perpendicular drawn from D to the side AC, and F be the foot of the perpendicular drawn from E to the side BC. What is the value of FC BC ?</t>
  </si>
  <si>
    <t>1 âˆš 2</t>
  </si>
  <si>
    <t xml:space="preserve">I used Triangle similarity rules to find the ratio it took me a time And to click And to exactly find the ratio Is this how we attempt these problems </t>
  </si>
  <si>
    <t>Suppose that there are 30 MCQ type questions where each question has four options: A, B.C.D. For each question, a student gets 4 marks for a correct answer, 0 marks for a wrong answer, and 1 mark for not attempting the question. Suppose in each question, the probability that option A is correct is 0.5 , option B is correct is 0.3 , option C is currect is 0.2 , and option D is correct is 0. Two students Gupi and Baglan how no clue about the right answers. Gupi answers each question randomly, that is, ticks any of the options with probability 0.25. Whereas Bagha attempts each question with probability 0.5, but whenever he attempts a question, he randomly ticks an option. Which of the following is correct?</t>
  </si>
  <si>
    <t>Both Gupi and Bagha have expected scores more than 30</t>
  </si>
  <si>
    <t xml:space="preserve">Got stuck here as The answer of a Random selection being correct is Different for different options </t>
  </si>
  <si>
    <t>Evaluate: limxâ†’âˆž[e3x âˆ’5x] 1 x</t>
  </si>
  <si>
    <t>e3</t>
  </si>
  <si>
    <t xml:space="preserve">Made a silly mistake Did not raise the final limit to the power E </t>
  </si>
  <si>
    <t>Suppose f(x) = ( |xâˆ’3| xâˆ’3 , for x Ì¸= 3 0. for x = 3 ) . Then. limxâ†’3 f(x) :</t>
  </si>
  <si>
    <t>is -1</t>
  </si>
  <si>
    <t>Consider the following system of equations in x, y, z : x + 2y âˆ’3z = a 2x + 6y âˆ’11z = b x âˆ’2y + 7z = c For what values of a, b, c, does the above system have no solution?</t>
  </si>
  <si>
    <t>c + 2b âˆ’5a Ì¸= 0</t>
  </si>
  <si>
    <t xml:space="preserve">Made a silly mistake in the Gaussian elimination </t>
  </si>
  <si>
    <t>The sequence xn is given by the formula: for every positive integer n xn = n3 âˆ’9n2 + 631 The largest value of n such that xn &gt; xn+1 is</t>
  </si>
  <si>
    <t xml:space="preserve">I tried to solve this with the Taking the ratio of X N over X N Plus One Being greater than one and found that This is being satisfied only when Belongs to one to four Open interval Did I do something wrong </t>
  </si>
  <si>
    <t>Suppose an unbiased coin is tossed 10 times. Let D be the random variable that denotes the number of heads minus the number of tails. What is the variance of D?</t>
  </si>
  <si>
    <t xml:space="preserve">I model this problem as two binomials Where successes are defined differently exactly oppositely But the problem I faced when trying to calculate variance was these two binomials were Dependent And I got stuck in calculating the covariance  where variance of X 1 - X 2 Was variance of X1 plus variance of x 2 - 2 covariance of X1,X2 </t>
  </si>
  <si>
    <t>Suppose we are given a 4 Ã— 4 square matrix A, which satisï¬es Aij = 0 if i &lt; j. Suppose the each diagonal entry Aii is drawn uniformly at random fron {0, 1, . . . , 9}. What is the probability that A has full rank?</t>
  </si>
  <si>
    <t>1 104</t>
  </si>
  <si>
    <t>Let a and b be two real numbers where b Ì¸= 0 and g : R â†’R is a continuous function which satisï¬es g(g(x)) = ag(x) + bx âˆ€x âˆˆR Which of the following must be true?</t>
  </si>
  <si>
    <t>g is strictly increasing</t>
  </si>
  <si>
    <t xml:space="preserve">My answer came as totally different It was not matching any options As this is kind of like the function G is just taking its input And Applying this linear transformation But if I apply the input X Instead of G of X within G I get that It becomes a linear function of the form a plus B into X Where this could be zero If a is equals to minus b Vice versa Therefore it could be constant </t>
  </si>
  <si>
    <t>For every positive integer n, let S(n) denote the sum of digits in n. For instance, s(387) = 3 + 8 + 7 = 18. The value of the sum S(1) + S(2) + . . . + S(99) is</t>
  </si>
  <si>
    <t xml:space="preserve">My method for this was very long Bounded I separated These summations In groups based on What digit they have in the 10th place After which they just The summation of With Lower and upper bounds increasing by 1 But again this was very long and error prone </t>
  </si>
  <si>
    <t>Suppose ï¬ve cards are randomly drawn without replacement from an ordinary deck of 52 plaving cards, with four suits of 13 cards each, which las been well shuï¬„ed. Let a ï¬‚ush be the event that all ï¬ve cards are of the same suit. What is the probability of getting a ï¬‚ush?</t>
  </si>
  <si>
    <t>4C113C5 52C5</t>
  </si>
  <si>
    <t>Evaluate: R xn ln xdx, where n &gt; 1</t>
  </si>
  <si>
    <t>ln x xn+1 n+1 âˆ’ 1 (n+1)2xn+1 + c</t>
  </si>
  <si>
    <t>The area of the region bounded by the curve y = ln(x), the Y âˆ’axis. and the lince y = 1 and y = âˆ’1 is</t>
  </si>
  <si>
    <t>e 2</t>
  </si>
  <si>
    <t xml:space="preserve">Tell me where did I went wrong </t>
  </si>
  <si>
    <t>A price discriminating monopolist ï¬nds that a personâ€™s demand for its product depends on the personâ€™s age. The inverse demand function of someone of age y, can be written as p = A(y)âˆ’q where A(y) is an increasing function of y. The product cannot be resold from one buyer to another and the monopolist knows the ages of its consumers. (This is often the case with online subscriptions) . If the monopolist maximizes its proï¬ts, then</t>
  </si>
  <si>
    <t>older people will pay higher prices and purchase more of this product compared to younger people</t>
  </si>
  <si>
    <t>Pamâ€™s family consists of herself and her 3 sisters. They own a small farm in the agricul- tural sector in Agriland. The value of their total output is $4000 which is divided equally amongst the four. The urban sector has two kinds of jobs: informal sector (which anyone can get) pays $500 and formal sector jobs give $1200. Pam would like to maximize her own total income and calculates her own expected returns to migration. The proportion of formal sector jobs to urban labor force that would deter her from migrating is:</t>
  </si>
  <si>
    <t>Less than 2/3</t>
  </si>
  <si>
    <t>Hu and Li are two dealers of used tractors in a rural area of China. Hu sells high quality second hand tractors while Li sells low quality ones. Hu would be willing to sell his high quality tractor at $8000 while Lu would sell his low quality one for $5000, Consumers are willing to pay up to $10, 000 for a high quality tractor and $7000 for a low quality one. They expect a 50% chance of buying a high quality second-hand tractor. In order to signal the quality of their tractors Hu and Li can oï¬€er warranties. The cost of warranty for a high quality tractor is 500Y and 1000Y for a low quality one (Y is the number of years of warranty). What is the optimal number of years of warranty that Hu should oï¬€er so that consumers know his tractors are of good quality?</t>
  </si>
  <si>
    <t>Less than 2 years</t>
  </si>
  <si>
    <t xml:space="preserve">How to solve this question did not understand how to solve it What is the theory also behind it </t>
  </si>
  <si>
    <t>Suppose the capacity curve for each laborer is described as follows: for all payments up to $100, capacity is zero and then begins to rise by 2 units for each additional $ paid. This happens until the payment rises to $500. Thereafter, an additional $ payment increases work capacity by only 1.1 units, until total income paid is $1000. At this point, additional payments have no eï¬€ect on work capacity. Assume all income is spent on nutrition. Suppose you are an employer faced by the above capacity curve of your workers. You need 8000 units of work or capacity units. How many workers would you hire and how much would you pay each worker so that you get 8000 units of work at minimum cost?</t>
  </si>
  <si>
    <t>5 workers: $1000 per worker</t>
  </si>
  <si>
    <t>Suppose you were to believe that money illusion exists, that is as prices and income rise proportionally, then people buy more. Which of the following statements about demand should not be true?</t>
  </si>
  <si>
    <t>Demand functions are downward sloping</t>
  </si>
  <si>
    <t xml:space="preserve">I do not understand the theory behind the question what is it asking </t>
  </si>
  <si>
    <t>Consider a Bertrand price competition model between two proï¬t maximizing widget producers, say A and B. The marginal cost of producing a widget is 4 for each producer. Each widget producer has a capacity constraint to produce only 5 widgets. There are 8 identical individuals who demand 1 widget only, and value each widget at 6. If the ï¬rms are maximizing proï¬ts, then the following statement is true:2 2Assuming only integer prices are allowed</t>
  </si>
  <si>
    <t>Firm A and B will charge 1</t>
  </si>
  <si>
    <t>The government estimates the market demand (QD) and market supply (QS) for turnips to be the following: Qd = 30 âˆ’2P, QS = 4 where P is the per unit price and Q is the quantity measured in kilograms. The government aims to increase the market price of turnips to $8 per unit to improve the welfare of domestic producers of turnships. It is considering three possible choices: i) per unit subsidy, ii) a price ï¬‚oor and purchase of any surplus production, iii) a production quota. Which of these policies should the government adopt if it aims to mazimize the producerâ€™s welfare but minimize the loss of eï¬ƒciency?</t>
  </si>
  <si>
    <t>A production quota</t>
  </si>
  <si>
    <t>A monopolist faces a demand curve q = 5 p. Her cost function is C(q) = 3q. Suppose, in the same market, there are some competitive suppliers ready to sell the good at price p = 5. The monopolistâ€™s proï¬t maximizing price and output could be given by</t>
  </si>
  <si>
    <t>p = 3, q = 5 3</t>
  </si>
  <si>
    <t>The consumption function is given by C = AY Î² with Î² = 0.5 and A = 0.3. The marginal propensity to save is</t>
  </si>
  <si>
    <t>equal to 0.5</t>
  </si>
  <si>
    <t xml:space="preserve">Do we derive marginal propensity always by taking a derivative of the consumption with respect to y </t>
  </si>
  <si>
    <t>The production function is given by Y = AL. The wage rigidity constraint is given by W â‰¥B. The labour endowment is given by C. Here, A, B, and C are ï¬nite and positive constants. Assume that the entire labour endowment is supplied. If A &gt; B, then in a labour market equilibrium</t>
  </si>
  <si>
    <t>L = C</t>
  </si>
  <si>
    <t>Consider the Mundell-Flemming model with perfect capital mobility and a ï¬‚exible ex- change rate in the short run. A monetary expansion leads to in output , a ï¬scal expansion leads to in output</t>
  </si>
  <si>
    <t>decrease; no change</t>
  </si>
  <si>
    <t>Mr. X has an exogenous income W and his utility from consumption is u(.). Mr. X know the an accident can occur with probability p and if it occurs, the monetary equivalent to the damage is T. Mr. X can however aï¬€ect the accident probability p through the prevention eï¬€ort e. In particular, e can take two values - zero and a and an assumption is that p(0) &gt; p(a), that is by putting prevention eï¬€ort. probability of occurring an accident can be reduced. Let us also assume that if Mr. X puts an eï¬€ort e, the disutility from the eï¬€ort is Ae2 where A is the per unit eï¬€ort cost. What is the critical value of A, Aâˆ—. below which the eï¬€ort will be undertaken, and above which the eï¬€ort will not be undertaken, by Mr. X?</t>
  </si>
  <si>
    <t>Aâˆ—= |p(a)âˆ’p(0)||u(Wâˆ’T)âˆ’u(W)] a2</t>
  </si>
  <si>
    <t>Labor supply in macro models results from individual decision making. Let c denote an individualâ€™s consumption and L denote labor supply. Assume that individuals solve the following optimization problem Max {c,L}U(c, L) = log c âˆ’1 2 1 bL2 subject to c + Â¯S = wL where U(Â·) is the utility function, b &gt; 0 is a constant, Â¯S is a constant exogenous level of savings, and w is the real wage the person can earn in the labor market. Derive the optimal labor supply. It is</t>
  </si>
  <si>
    <t>increasing in w; increasing in c</t>
  </si>
  <si>
    <t xml:space="preserve">I wrote the Lagrange and my answer was coming as option d </t>
  </si>
  <si>
    <t>Consider a Solow economy that begins in steady state. Then a strong eathquake destroys half the capital stock. The steady state level of capital , the level of output on impact, and the growth rate of the economy as the economy approaches its steady state.</t>
  </si>
  <si>
    <t>decreases; decreases; decreases</t>
  </si>
  <si>
    <t>Suppose the economy is characterized by the following equations C = c0 + c1YD YD = Y âˆ’T I = b0 + b1Y where C = Consumption, c0 = Autonomous Consumption, c1 âˆˆ[0.1] YD = Disposable Income, Y = Aggregate GDP, T = Taxes, I = Investinent , b0 = Autonomous Investment, and b1 âˆˆ[0, 1]. For the multiplier to be positive, what condition needs to be satisï¬ed?</t>
  </si>
  <si>
    <t>b1 + c1 = 0</t>
  </si>
  <si>
    <t>If the nth partial sum of the series $P^\infty_{n=1} a_n$ is $s_n = \frac{2n^2+2}{3n^2+1}$, then $P^\infty_{n=1} a_n$ is</t>
  </si>
  <si>
    <t>2/3</t>
  </si>
  <si>
    <t>Using data from a sample of size n, the intercept and slope coefficients from an ordinary least squares regression of y on x, are a and b respectively. Which of the following is false?</t>
  </si>
  <si>
    <t>a and b are the solution to minα,β​∑i=1n​∥yi​−α−βxi​</t>
  </si>
  <si>
    <t xml:space="preserve">I was able to answer this because option D was definitely wrong as a new option C was right As we derive it through  Minimising the Squared error But what about option A and b And how do you usually deal With such Equations regression </t>
  </si>
  <si>
    <t>Consider a production function z = 2x+3y. For what price ratio px/py, will a corner solution in y, i.e. (x = 0) be possible, if the objective is to minimize the cost of producing a given positive quantity z0 of z ?</t>
  </si>
  <si>
    <t>px/py ≥ 2/3</t>
  </si>
  <si>
    <t>A number is chosen randomly from the first billion natural numbers. The probability that the product of the number with its two immediate successors is divisible by 24 is closest to</t>
  </si>
  <si>
    <t>5/8</t>
  </si>
  <si>
    <t xml:space="preserve">My answer for probability derivation was as follows For very large number The probability of a number being divisible by 24  One over 24 Then the probability of Product of three consecutive integers Bing divisible by 24   Would be equal to finding divisible number in the first place or finding the disable number in the 2nd place or finding the desirable number in the 3rd place. </t>
  </si>
  <si>
    <t>Each of the four entries of a 2 × 2 matrix is filled by independently choosing either 1 or −1 uniformly at random. What is the probability that the matrix is singular?</t>
  </si>
  <si>
    <t>1/2</t>
  </si>
  <si>
    <t>We need to fill a 3 × 3 matrix by either 0 or 1 such that each row has exactly one 0 and each column has exactly one 0. The number of ways we can do this is</t>
  </si>
  <si>
    <t>6</t>
  </si>
  <si>
    <t>Let f : [0, 1] → R be a convex function with f(0) = 0. Which of the following is always true for f?</t>
  </si>
  <si>
    <t>If f : R → R is strictly quasi-concave, then it follows that</t>
  </si>
  <si>
    <t>if f is quadratic, then the coefficient of x2 is ≤0</t>
  </si>
  <si>
    <t>Consider a function f : [−1, 1] → R shown in Figure 1. The value of $\int_{-1}^1 f(x^2 -1) dx$ equals</t>
  </si>
  <si>
    <t>The rank of the matrix is</t>
  </si>
  <si>
    <t>3</t>
  </si>
  <si>
    <t>Let V be the vector space of polynomials p(x) of degree less than or equal to 2 that have real coefficients. Then, T is a linear transformation from V to V if T is defined by</t>
  </si>
  <si>
    <t>T(p(x)) = dp(x)/dx</t>
  </si>
  <si>
    <t xml:space="preserve">First of all I am not understanding how The vector space is being defined on such polynomial equations Next I want to understand that how is the derivative The correct answer as it Strictly be in a subset Of the vector space V that was originally given  While adding x to a polynomial Would keep the degree constraint Consistent </t>
  </si>
  <si>
    <t>X is a random variable that can take values only in [0, 10]. Suppose P[X &gt; 5] ≤ 2/5 and P[X &lt; 1] ≤ 1/2. Then</t>
  </si>
  <si>
    <t>E[X] ≥0.5 and E[X] ≤8.5</t>
  </si>
  <si>
    <t xml:space="preserve">For this question I was able to derive by Markov's in The first inequality of the expectation being greater than 1 by 2 But I had problems deriving the upper bound of this expectation As I couldn't Chain the inequality of First information that I was given </t>
  </si>
  <si>
    <t>Given data (−1, 1), (0, 0), (1, 1) on (x, y), the standard deviation of x and y and the correlation coefficient of x and y are respectively:</t>
  </si>
  <si>
    <t>σx​=2​/3​, σy​=2​/3, r = 0</t>
  </si>
  <si>
    <t xml:space="preserve">Made a mistake of reading the incorrect data point of the First set of Where I read both as -one </t>
  </si>
  <si>
    <t>An island nation has two potential vaccine firms: denoted as 1 and 2... What is the total expected cost of vaccination (expected cost is the fixed cost of R&amp;D and expected cost of manufacturing)?</t>
  </si>
  <si>
    <t>f1 + f2 + 1/3</t>
  </si>
  <si>
    <t xml:space="preserve">In this question are Keeping the formula for total cost to be minimum of Cost of firm 1 Or firm two Per unit production F1 plus F2 </t>
  </si>
  <si>
    <t>In question 14, suppose f1 &lt; f2 &lt; 1/6. Consider two more alternatives... Then, which of the following is true?</t>
  </si>
  <si>
    <t>C1 &lt; C3 &lt; C2</t>
  </si>
  <si>
    <t>India and China produce only shirts and phones using only 2 factors of production... Which good will India import?</t>
  </si>
  <si>
    <t>Phones</t>
  </si>
  <si>
    <t xml:space="preserve">Did not understand this question what theory are they using behind it Like trade theory But I Read about Sam So is this using opportunity cost Comparative advantage Or is it using the Hekshar ohlin model. I Tried using the latter  India has Higher endowment Of skilled labour  Therefore Prices of the production of But the endowments of low skilled labour Is equal in both countries so the prices should be same so why would trade even happen here trade should not happen right I can't use the low skilled labour in high skilled job So I'm not seeing any comparative advantage here  </t>
  </si>
  <si>
    <t>Continue with the same setup as in Question 16, but now China’s population doubles. The overall welfare of the representative agent in India will:</t>
  </si>
  <si>
    <t>Increase</t>
  </si>
  <si>
    <t xml:space="preserve">Again why Is it that the utility of a agent in India is increasing I understand that As China's population of both type of Labour have doubled Therefore prices A good type of goods product produced there should Decrease As aggregate supply of liver has shifted right   But then what are these implying I'm not able to understand </t>
  </si>
  <si>
    <t>Consider a duopoly with market demand p = 10 − q. The cost function of firm 1 is 7q1, and that of firm 2 is 2q2... In equilibrium, firm 2 charges a price of:</t>
  </si>
  <si>
    <t>Let the economy’s production function be given by Y = $A K^{1/3} L^{2/3}$... The labor demand curve is given by ___; a negative total factor productivity shock leads to a ___ in labor demand; and a ___ in employment.</t>
  </si>
  <si>
    <t>w = 2/3 AK1/3L−1/3 ; downward shift; fall</t>
  </si>
  <si>
    <t>Virat and Mithali eat rice and drink milk in exactly the same quantities... For Virat’s behaviour to be consistent with standard, well-behaved indifference curves, his preferences over rice consumption imply that for him, rice must be a:</t>
  </si>
  <si>
    <t>Giffen good</t>
  </si>
  <si>
    <t>Continue with the same setup as in Question 20... With respect to rice, for Virat, the income effect must be ___ than the substitution effect while for Mithali the income effect must be ___ than the substitution effect...</t>
  </si>
  <si>
    <t>greater, lesser</t>
  </si>
  <si>
    <t>If the short-run IS-LM equilibrium occurs at a level of income above the natural rate of output, in the long run output will return to the natural rate via</t>
  </si>
  <si>
    <t>an increase in the price level</t>
  </si>
  <si>
    <t>If the short-run aggregate supply curve is steep, the Phillips curve will be:</t>
  </si>
  <si>
    <t>steep</t>
  </si>
  <si>
    <t>There are no capital controls between the US and the UK. If the interest rate is higher in the US than in the UK, then we can conclude that</t>
  </si>
  <si>
    <t>The pound is expected to appreciate with respect to the US dollar</t>
  </si>
  <si>
    <t xml:space="preserve">Shouldn’t the answer here be that Interest rate in US would strictly decrease As we're not sure of the regime they're following fixed exchange rate or  Flexible Therefore we are unsure of how the exchange rate would move But in any case of Capital inflow The interest rate Should decline Even if it is not a small economy </t>
  </si>
  <si>
    <t>Suppose there are two countries, B and C... B imports a total of goods worth 10 million bollars from C, where a bollar is a unit of B’s currency. B has no exports. Which of the following must be true?</t>
  </si>
  <si>
    <t>C is buying assets from B.</t>
  </si>
  <si>
    <t>Inventory investment can be expected to</t>
  </si>
  <si>
    <t>fall when the real interest rate rises, other things being equal</t>
  </si>
  <si>
    <t>Shouldn't the answer to this be option a As understand That Inventory investment Or pile up of inventory in a particular. Would increase When the Firms have over produced Expecting some planned expenditure but the actual planned expenditure is strictly less than this And therefore inventories pile up and Its investment increases And this Decrease in planned expenditure Could be because of decrease in Aggregate investment due to rise in interest rate</t>
  </si>
  <si>
    <t>A cake of size 1 is to be divided among two individuals 1 and 2... The Pareto optimal cake divisions include:</t>
  </si>
  <si>
    <t>(1, 0)</t>
  </si>
  <si>
    <t>Rohit spends all his money on dosas and filter coffee... Where will Rohit prefer to stay?</t>
  </si>
  <si>
    <t>Indifferent between Delhi and Chennai</t>
  </si>
  <si>
    <t>Consider the IS-LM model... Now suppose that the central bank chooses R for the economy, based on its own assessment, at R = R̄. In this case the LM curve will</t>
  </si>
  <si>
    <t>will be horizontal at R = R̄.</t>
  </si>
  <si>
    <t xml:space="preserve">Shouldn't the answer here be lm curve be Upward sloping as it normally is LM curve strictly defines Points where The money market is in equilibrium In the RY space Correct then  The central bank is Fixing the interest rate At R dash It needs to The money supply flexible So as it could bring equilibrium in the money market That would designate Equilibrium in ISLM model but the theoretical lm curve still exists Denoting the different points Where the money market is in equilib </t>
  </si>
  <si>
    <t>Consider a supply-demand diagram for the labor market... Suppose the wage is rigid above the equilibrium wage at w̄... Then a reduction in labor demand leads to</t>
  </si>
  <si>
    <t>A larger reduction in employment compared to the case if wages were flexible</t>
  </si>
  <si>
    <t xml:space="preserve">Shouldn't the answer here be option a A larger reduction in employment compared to the case if wages were flexible, Rather Then option That is given in the answer key Option C As it is still given that wages are strictly rigid at Awaits higher than what Have been in the equilibrium wage Therefore when aggregate labour demand still falls The aggregate labour supply which is now being given by the rigid wage Moves left a lot faster Then what would have been in the flexible wage condition  </t>
  </si>
  <si>
    <t>Consider an economy with two goods X and Y . Let the utility function be given by u(x, y) = Aâˆšxy where A &gt; 0, x â‰¥0 is the amount of good X consumed and y â‰¥0 is the amount of good Y consumed. Suppose that the budget constraint is given by PXx + PY y â‰¤M where M &gt; 0 is the money income of the consumer and PX and PY are the prices of the goods X and Y , respectively. Let PX = PY &gt; 1 and let (xâˆ—, yâˆ—) be the equilibrium quantities of this consumer who maximizes utility subject to the budget constraint. Then,</t>
  </si>
  <si>
    <t>it must always be that xâˆ—&gt; yâˆ—</t>
  </si>
  <si>
    <t>Consider the utility function u (x1, x2) = 3x1 + 2x2 of a consumer deï¬ned for all x1 â‰¥0 and x2 â‰¥0. Let the price of good 1 be p1 &gt; 0 and that of good 2 be p2 &gt; 0. Let M &gt; 0 be the money income of the consumer. Consider the optimization problem maxx1â‰¥0,x2â‰¥0 3x1 + 2x2 subject to 2x1 + 3x2 â‰¤M. The associated Lagrangian func- tion for this maximization problem is L (x1, x2 : Î») = 3x1 + 2x2 + Î» [M âˆ’2x1 âˆ’3x2]; where Î» denotes the non-negative Lagrangian multiplier. Then the equilibrium solution (xâˆ— 1, xâˆ— 2, Î»âˆ—) to this Lagrangian function maximization problem is</t>
  </si>
  <si>
    <t>_x0010_ xâˆ— 1 = 0, xâˆ— 2 = M 3 , Î»âˆ—= 3 2 _x0011_</t>
  </si>
  <si>
    <t xml:space="preserve">This is unrelated to the exact question But what does the lambda variable in this lagrangian tell us Specifically for consumer problems Descriptively describe how I can use them in problems </t>
  </si>
  <si>
    <t>Consider a two good economy where the two goods are X and Y and consider two consumers A and B. In a month when the price of good X was Rs. 2 and that of good Y was Rs. 3, consumer A consumed 3 units of good X and 8 units of good Y and consumer B consumed 6 units of both goods. In the next month. when the price of good X was Rs. 3 and that of good Y was Rs. 2, consumer A consumed 8 units of good X and 3 units of good Y and consumer B consumed 4 units of good X and 9 units of good Y . Given this information which one of the following statements is correct?</t>
  </si>
  <si>
    <t>Neither consumer satisï¬es the weak axiom of revealed preference</t>
  </si>
  <si>
    <t>Let the production function be Y (L, K) = min{2L, K}, where L and K are the amounts of labor and capital, respectively. Consider the cost function C(L, K) = wL+rK, where w &gt; 0 denotes the price of labor and r &gt; 0 denotes the price of capital. Suppose that (Lâˆ—, Kâˆ—) is the combination of labor and capital at which cost is minimized subject to the constraint Y (L, K) â‰¥Â¯Y . Then.</t>
  </si>
  <si>
    <t>Lâˆ—= Â¯Y and Kâˆ—= Â¯Y</t>
  </si>
  <si>
    <t>Suppose that there are two ï¬rms 1 and 2 that produce the same good. Let the inverted demand function be P (q1, q2) = 1 âˆ’q1 âˆ’q2, where ï¬rm 1 produces q1 â‰¥0 and ï¬rm 2 produces q2 â‰¥0. Suppose that the cost function of ï¬rm i âˆˆ{1, 2} is given by ci (qi) = Îºiqi, where Îºi âˆˆ _x0010_ 0, 1 2 _x0011_ . Note that there is no ï¬xed cost for either ï¬rm. Then, the Cournot equilibrium proï¬t of ï¬rm 2</t>
  </si>
  <si>
    <t>(1âˆ’2Îº1+Îº2)2 9</t>
  </si>
  <si>
    <t>Which of the following statements is correct in a two-good world?</t>
  </si>
  <si>
    <t>Diminishing marginal utility of both goods is necessary for diminishing marginal rate of substitution</t>
  </si>
  <si>
    <t xml:space="preserve">I had known this fact Beforehand But what is the actual theory behind it I know that the diminishing Marginal returns Only valuable in additively separable utility functions </t>
  </si>
  <si>
    <t>A non-transitive preference relation can be represented by a utility function</t>
  </si>
  <si>
    <t>Only if preferences are complete and convex</t>
  </si>
  <si>
    <t xml:space="preserve">I had known about the axioms Three in particular But please explain in Extensive detail the actual theory and all the requirements For constructing a utility Function </t>
  </si>
  <si>
    <t>Rahul consumes two goods, X and Y , in amounts x and y, respectively. Rahulâ€™s utility function is U(x, y) = min{x, y}. Rahul makes Rs 200; the price of X and price of Y are both Rs. 2. Rahulâ€™s boss is thinking of sending him to another town where the price of X is Rs 2 and the price of Y is Rs. 3. The boss oï¬€ers no raise in pay. Rahul, who understands compensating and equivalent variations perfectly, complains bitterly. He says that although he doesnâ€™t mind moving for its own sake and the town is just as pleasant as the old, having to move is as bad as a cut in pay of Rs A in his current location. He also says that he would not mind moving if, when he moved, he got a raise of Rs. B. What are A and B equal to?</t>
  </si>
  <si>
    <t>A = 30, B = 70</t>
  </si>
  <si>
    <t>Let U(x, y) = âˆ’[(10 âˆ’x)2 + (10 âˆ’y)2] be a utility function of some consumer. All prices are equal to 1, and income is 40. Then the optimal values of x and y will be</t>
  </si>
  <si>
    <t>None of these</t>
  </si>
  <si>
    <t>Consider a production function F(K, L) = min n K a , L b o ; a, b &gt; 0 and a Ì¸= b. For any given K = Â¯K &gt; 0, the marginal productivity of labor is</t>
  </si>
  <si>
    <t xml:space="preserve">I was scared at the equality or at the King Point but then Tried defining the partial differential Using the definition and my LHD was not equals to my RHD </t>
  </si>
  <si>
    <t>Let ei (p0) be the price elasticity of demand for a good X of consumer i (i = 2, Â· Â· Â· , N) at price p0, given its demand function. Consumers do not consume identical amounts of X at p0. Then the price elasticity of demand at price p0 for the aggregate demand function for X is</t>
  </si>
  <si>
    <t>P i (ei (p0))2</t>
  </si>
  <si>
    <t xml:space="preserve">For this my answer was coming as The summation of price elasticity Into the proportion The total good x The individual consum </t>
  </si>
  <si>
    <t>There are m identical competitive ï¬rms in an industry. Every ï¬rm has the (total) cost function C(q) = q2 +1, where q is the level of its output, q â‰¥0. Industry demand for the product is given by D(P) = a âˆ’bP, where P is price, and a, b &gt; 0. Then the short-run equilibrium output of each ï¬rm is</t>
  </si>
  <si>
    <t>a m+ b 2</t>
  </si>
  <si>
    <t xml:space="preserve">I was scared in this as there was a option with zero also and I thought that Maybe in the short run that condition of Prize being greater than the average variable cost was not being satisfied here But that was satisfied Is there a general way or Kinda shortcut something that can give me this insight without Getting worried </t>
  </si>
  <si>
    <t>Suppose the (total) cost function for a monopolist is C = 3q2+800, where q is its output. The inverse market demand function is p = 280 âˆ’4q. What is the price elasticity of demand at the proï¬t maximizing price?</t>
  </si>
  <si>
    <t>âˆ’1.5</t>
  </si>
  <si>
    <t>Consider the Solow growth model with constant average saving propensity s, rate of depreciation Î´, and labor supply growth rate n. There is no technological progress. Then, at steady state, the capital-output ratio is</t>
  </si>
  <si>
    <t>Î´ s+n</t>
  </si>
  <si>
    <t xml:space="preserve">For this I have problem with the question itself where they have not given an exact Production function Can't it be a different production function and therefore answer be different I had to assume Very common cop Douglas I For deriving the answer </t>
  </si>
  <si>
    <t>The number of ways in which the word PANDEMIC can be arranged such that the vowels appear together is</t>
  </si>
  <si>
    <t>6 Ã— (3!)(5!)</t>
  </si>
  <si>
    <t>Consider the functions f(x) = x2 âˆ’x âˆ’1 and g(x) = x + 1, both deï¬ned for all real values of x. Let Î±1 &gt; 0 be the positive real root and Î±2 &lt; 0 be the negative real root of the equation f(x) = 0. Let Î²1 &gt; 0 be the positive real root and Î²2 &lt; 0 be the negative real root of the equation f(g(x)) = 0. After identifying the exact values of Î±1, Î±2, Î²1 and Î²2, identify which one of the following four statements is incorrect.</t>
  </si>
  <si>
    <t>Î±1 + Î±2 = âˆ’(Î²1 + Î²2) = âˆ’1</t>
  </si>
  <si>
    <t>Let the function f(x) = 1 âˆ’ âˆš 1 âˆ’x2 be deï¬ned only over all x belonging in [0, 1]. Then f(1 âˆ’f(x)) equals</t>
  </si>
  <si>
    <t>1 âˆ’x</t>
  </si>
  <si>
    <t xml:space="preserve">For such problems is there some value or insight in this or just have to brute force the solution I had tried putting x  as Cos Theta But that also did not give me a particular helpful insight </t>
  </si>
  <si>
    <t>Suppose f(x) is increasing, concave and twice diï¬€erentiable and g(x) is decreasing, con- vex and twice diï¬€erentiable. Then the function G(x) = g(f(x)) is</t>
  </si>
  <si>
    <t>decreasing and convex</t>
  </si>
  <si>
    <t>Suppose that f : R â†’R is a twice diï¬€erentiable function satisfying f â€²â€²(x) &gt; 0 for all x âˆˆR. Furthermore, assume that f(1) = 1 and f(2) = 2. Then,</t>
  </si>
  <si>
    <t>f â€²(2) = 0</t>
  </si>
  <si>
    <t xml:space="preserve">This one I had to rely on my graphical instruments Where the derivative function is increasing And By the fundamental theorem of calculus For integration The value was equal to 1 Therefore as the function of the derivative was strictly increasing It had to be of the kind that In the integral For some part it was going below one and sometimes it was going above one But how can I do this more formally </t>
  </si>
  <si>
    <t>Let A and B be two non-singular matrices of the same order and let C be a matrix such that C = BABâˆ’1. Then for any scalar Î», the value of det(C + Î»I) (where I is the identity matrix) is</t>
  </si>
  <si>
    <t>det(A + Î»I)</t>
  </si>
  <si>
    <t xml:space="preserve">This was a tough problem I understood that both were similar matrices And the relation between Their eigenvalues and therefore Equivalently the characteristic equation Being same But how that related to The det of C+Lambda*I couldn't understand </t>
  </si>
  <si>
    <t>The value of limxâ†’e loge xâˆ’1 xâˆ’e is</t>
  </si>
  <si>
    <t>Let f : [0, âˆž) â†’R be a function such that f(0) = 0 and f â€²â€²(x) &gt; 0 for all x &gt; 0. Then the function g : (0.âˆž) â†’R. deï¬ned by g(x) = f(x) x , is</t>
  </si>
  <si>
    <t>decreasing in (0.1] and increasing in (1, âˆž)</t>
  </si>
  <si>
    <t>Let f : A â†’B be a function where A = {1, 2, 3, 4, 5} and B = {1, 2}. How many onto functions can one generate?</t>
  </si>
  <si>
    <t>25 âˆ’2</t>
  </si>
  <si>
    <t>Let f : R â†’R be a function deï¬ned by f(x) = x 1+x2 for all x âˆˆR. Then.</t>
  </si>
  <si>
    <t>âˆ’1 â‰¤f(x) â‰¤1/2</t>
  </si>
  <si>
    <t>If a 3 Ã— 3 matrix A has rank 3 and a 3 Ã— 4 matrix B has rank 3, then the rank of AB is</t>
  </si>
  <si>
    <t xml:space="preserve">Is the I was able to derive the answer here from the options As The minimum option was three but if it was given as something lower also then I had to cheque So how would one do that </t>
  </si>
  <si>
    <t>Let A = ï£« ï£¬ ï£¬ ï£¬ ï£¬ ï£¬ ï£¬ ï£­ 2 0 3 1 âˆ’1 2 3 1 0 âˆ’1 3 1 2 0 âˆ’1 1 2 3 âˆ’1 0 2 1 âˆ’1 0 3 ï£¶ ï£· ï£· ï£· ï£· ï£· ï£· ï£¸ Which one is an eigenvalue of A?</t>
  </si>
  <si>
    <t xml:space="preserve">This one had to spend a little time in And only later that I realised that sum of all the Columns were summing to 5 And then my insight about Markov matrices help me But generally if such Matrix or question is given how would one solve a problem </t>
  </si>
  <si>
    <t>Let A be a 5 Ã— 5 non-null singular matrix. Then which of the following statement is true?</t>
  </si>
  <si>
    <t>Ax = 0 has inï¬nitely many solutions</t>
  </si>
  <si>
    <t>A family has two children. What is the probability that both are boys given that at least one is a boy?</t>
  </si>
  <si>
    <t>2 3</t>
  </si>
  <si>
    <t>Consider two boxes, one containing one black ball and one white ball, the other con- taining two white balls and one black ball. A box is selected at random, and a ball is selected at random from the selected box. What is the probability that the ball is black?</t>
  </si>
  <si>
    <t>1 6</t>
  </si>
  <si>
    <t>The function f : R â†’R, deï¬ned by f(x) = (x2 + 1)2022, is</t>
  </si>
  <si>
    <t>one-one but not onto</t>
  </si>
  <si>
    <t>Correct Option</t>
  </si>
  <si>
    <t>Correct Option Text</t>
  </si>
  <si>
    <t>1</t>
  </si>
  <si>
    <t>If f : R →R is a diﬀerentiable function at a ∈R such that f ′(a) = af(a), then what is limx→a xf(a)−af(x) / x−a ?</t>
  </si>
  <si>
    <t>(1 −a2) f(a)</t>
  </si>
  <si>
    <t>2</t>
  </si>
  <si>
    <t>Suppose Sn is deﬁned as follows for every positive integer n ≥2: Sn = (1 −1/2^2) (1 −1/3^2) · · · (1 −1/n^2) The value of limn→∞Sn is then</t>
  </si>
  <si>
    <t xml:space="preserve">When I tried solving this question all the terms got cancelled except the Last term in the sequence product which resulted in the expression N+1 over N-1. Taking the limit of this to Infinity it strictly went to one. Tell me where this went wrong and this standard Method to solve sequence product questions </t>
  </si>
  <si>
    <t>Suppose limx→0 ea1x −1 / a2x2 + a3x = 1, where a1, a2 and a3 are given real numbers. Then it is necessarily true that</t>
  </si>
  <si>
    <t>a1 = a3 ̸= 0</t>
  </si>
  <si>
    <t>4</t>
  </si>
  <si>
    <t>Let a function f : R →R be deﬁned as: f(x) = cx2 + ax + b if x &lt; 0, bx2 + cx + a if 0 ≤x &lt; 2, ax2 + bx + c if x ≥2 where a, b, c are positive real numbers. Which of the following statements is correct, under the assumption that f is continuous?</t>
  </si>
  <si>
    <t>f is continuous if and only if a = b = c</t>
  </si>
  <si>
    <t>5</t>
  </si>
  <si>
    <t>Consider f : [0, 1] →[0, 1] such that f(x) = x / 2−x. Which of the following statements is incorrect?</t>
  </si>
  <si>
    <t>f is strictly concave in the interval (0, 1)</t>
  </si>
  <si>
    <t>Let f : R →R be the function f(x) = |x| + x2 ∀x ∈R Which of the following statements about f is correct?</t>
  </si>
  <si>
    <t>f is convex but not diﬀerentiable</t>
  </si>
  <si>
    <t>7</t>
  </si>
  <si>
    <t>R x3ex2dx equals</t>
  </si>
  <si>
    <t>(x2−1)/2 ex2</t>
  </si>
  <si>
    <t>8</t>
  </si>
  <si>
    <t>Let A be a 3 × 3 matrix having eigenvalues 2, 7, 5. What is the determinant of A + 2I?</t>
  </si>
  <si>
    <t>252</t>
  </si>
  <si>
    <t>9</t>
  </si>
  <si>
    <t>Let x and y be two column vectors of length 3 such that P3 i=1 xiyi ̸= 0. What is the rank of xyT, where yT is the transpose of y?</t>
  </si>
  <si>
    <t xml:space="preserve">I was able to solve this no problem Though had Confusion as to why the condition in the question was given as the dot product not equal to 0 And then also had a slight confusion Any difference If the two column vectors were exactly the same vector or if they were slightly different </t>
  </si>
  <si>
    <t>10</t>
  </si>
  <si>
    <t>Let A be a 3×3 matrix such that Ax = x for all x where x is a column vector of length 3. Which of the following statements is correct?</t>
  </si>
  <si>
    <t>A exists but is diﬀerent from the options given in parts (A) or (B) above</t>
  </si>
  <si>
    <t>11</t>
  </si>
  <si>
    <t>Let S = {(x1, 0) : x1 is any real number} and T = {(0, x2) : x2 is any real number} . Which of the following statements is correct?</t>
  </si>
  <si>
    <t>S, T and S ∩T are vector spaces</t>
  </si>
  <si>
    <t xml:space="preserve">Sure I was able to apply the definition for a vector space That being that the components of any two elements in the vector Space The linear combination of any such would still should be in the space . But then I did not understand why the union Is not a correct vector space  Because I thought that the union would also contain Points where The coordinates both Can be some real number </t>
  </si>
  <si>
    <t>12</t>
  </si>
  <si>
    <t>In a chess tournament, there are both boys and girls. Each player plays with another player exactly once in the tournament. If there are 45 games in the tournament and exactly 15 of them feature only boys, then how many games will feature a boy and a girl?</t>
  </si>
  <si>
    <t>24</t>
  </si>
  <si>
    <t>13</t>
  </si>
  <si>
    <t>What is the number of possible arrangements of the letters of the word ‘madam’ such that the two ‘a’s never appear in consecutive positions?</t>
  </si>
  <si>
    <t>18</t>
  </si>
  <si>
    <t>14</t>
  </si>
  <si>
    <t>A monkey starts at (0, 0) on the xy-plane in period 1. From any position (x, y) in a period, the monkey can only jump to (a, b) in the next period, where a ∈{x+1, x, x−1} and b ∈{y + 1, y, y −1}. How many possible positions can the monkey be in period 2?</t>
  </si>
  <si>
    <t>15</t>
  </si>
  <si>
    <t>In the previous question, suppose in every period the monkey can go to any of the possible positions in the next period with - equal probability. Then what is the probability that the monkey is at a distance of more than 1 from (0, 0) in period 2?</t>
  </si>
  <si>
    <t>4/9</t>
  </si>
  <si>
    <t>16</t>
  </si>
  <si>
    <t>For a given data set, let the least squares regression line be y = 10 + 2x. It is given that variance of x is 9 and variance of y is 81 . What is the correlation coeﬃcient between x and y?</t>
  </si>
  <si>
    <t>17</t>
  </si>
  <si>
    <t>An urn contains 4 white, 6 red, and 5 black balls. 5 balls are randomly selected from the urn. Let X and Y denote respectively the number of white and black balls selected. Suppose Y = 2, i.e., 2 of the 5 balls selected are black. What is the probability that X takes the value 2?</t>
  </si>
  <si>
    <t>3/10</t>
  </si>
  <si>
    <t>In answering a question on a multiple-choice test with 4 choices available as possible answers, a student either knows the answer, with probability 1/4, or guesses the answer, with probability 3/4. Assume that a student who guesses the answer will be correct with probability 1/4. What is the probability that a student knew the answer given that he answered it correctly?</t>
  </si>
  <si>
    <t>4/7</t>
  </si>
  <si>
    <t>19</t>
  </si>
  <si>
    <t>Let X1, X2, · · · , X5 be independently and identically distributed random variables with mean 10 and variance 4. Let ¯X = 1/5 P5 i=1 Xi. What is the value of Cov( ¯X, X1 −¯X )?</t>
  </si>
  <si>
    <t>0</t>
  </si>
  <si>
    <t>20</t>
  </si>
  <si>
    <t>Consider a discrete random variable which follows a binomial distribution with parameters n and p, where n, a positive integer, is the number of trials and p ∈(0, 1) is the probability of success in any trial. Which of the following statements is incorrect?</t>
  </si>
  <si>
    <t>If (n + 1)p −1 is an integer, then this distribution is unimodal</t>
  </si>
  <si>
    <t xml:space="preserve">This was a good question And from what I know Is that the mode of the binomial distribution Is the greatest integer function Of the product of N+1  Into P. Tell me other important facts about this distribution and also about that median option I had trouble evaluating it  </t>
  </si>
  <si>
    <t>21</t>
  </si>
  <si>
    <t>Consider an economy where all factors of production are fully employed and which has an aggregate production function (in per capita form) y = Ak, where k and y are the capital-labour ratio and the output-labour ratio respectively, and A is a positive constant. A constant proportion s ∈(0, 1) of income is saved and invested in this economy. Suppose labour force grows at the rate n &gt; 0 and the rate of depreciation of capital is given by δ ∈(0, 1). Assume the parameter values are such that positive long run growth of y can be ensured. Then which of the following statements regarding this model economy is incorrect?</t>
  </si>
  <si>
    <t>Increasing the savings rate s will not have any eﬀect on the long run growth rate of output per worker</t>
  </si>
  <si>
    <t xml:space="preserve">This has essentially become an AK model right and with the given condition In the question that output is growing I initially had trouble understanding whether option C should be correct or not or as I don't know whether steady state or balance growth path is possible in this model But option D was definitely wrong as the savings rate directly Influences the slope  Of the investment curve And therefore the growth rate of the per capita capital </t>
  </si>
  <si>
    <t>22</t>
  </si>
  <si>
    <t>Suppose the savings rate is s = 0.2. What will be the capital-labour ratio in steady state?</t>
  </si>
  <si>
    <t>23</t>
  </si>
  <si>
    <t>Suppose that a social planner wishes to maximize steady state per-capita consumption in this economy. What savings rate will be compatible with the level of per-capita consumption chosen by the planner?</t>
  </si>
  <si>
    <t>1/3</t>
  </si>
  <si>
    <t xml:space="preserve">I previously knew the answer that in a cop Douglas function And standard settings that the maximisation of consumption leads these savings rate to be equal to alpha The power over the per capita term But I want to understand how does social planner come inside this question or What type of modifications can be made to Search problems </t>
  </si>
  <si>
    <t>Consider a Solow economy with the aggregate production function in intensive form given by y = k 1/2, where k and y are the capital labour ratio and the per capita output respectively. Suppose all factors are fully employed in this economy, there is no depreciation of capital, and the labour force grows at rate n &gt; 0. If the steady state value of capital labour ratio for this economy is 50 and the current value of capital labour ratio is 2, what is the current growth rate of per capita output?</t>
  </si>
  <si>
    <t>None of the previous options</t>
  </si>
  <si>
    <t xml:space="preserve">My answer here came as two into n And that is why I got very confused as to As those were not in the options </t>
  </si>
  <si>
    <t>25</t>
  </si>
  <si>
    <t>Suppose preferences are such that 1/3rd of the expenditure of residents of any country is on wheat and the rest is on television. What is the impact on equilibrium price (i.e., the price at which all markets clear) p of A reducing its expenditure from 100 to 70?</t>
  </si>
  <si>
    <t>p will stay the same</t>
  </si>
  <si>
    <t xml:space="preserve">For this question and the one below I strictly don't understand the theory behind this and how to solve such questions . I also don't understand the use of relative price here As does that mean that P here represents the price of wheat in terms of television Explain the whole theory behind this </t>
  </si>
  <si>
    <t>26</t>
  </si>
  <si>
    <t>Suppose preferences are such that 2/3rd of the expenditure of residents of any country is on their own good, and the rest is on the other good (i.e. 2/3rd of the expenditure of residents of A is on wheat and the rest is on television, while 2/3rd of the expenditure of residents of B is on television and the rest is on wheat). What is the impact on equilibrium price (i.e., the price at which all markets clear) p of A reducing its expenditure from 100 to 70?</t>
  </si>
  <si>
    <t>p will decrease</t>
  </si>
  <si>
    <t>27</t>
  </si>
  <si>
    <t>A consumer consumes two goods, X and Y . It is observed that the consumer’s consumption of good X always falls when the price of X falls., ceteris paribus. Suppose the consumer’s income rises, given prices of X and Y . What will happen to the consumer’s consumption of X?</t>
  </si>
  <si>
    <t>Consumption of X falls</t>
  </si>
  <si>
    <t>28</t>
  </si>
  <si>
    <t>An individual A has a pond in which he can set up a net costlessly only at time t = 0. The net will yield an output of f ﬁsh at t = 1 and nothing at t = 2. A eats only ﬁsh and his only source of ﬁsh is the pond. A can consume in periods t = 1 and t = 2, after which he ceases to exist. A has the option of costlessly storing ﬁsh at t = 1 for consumption at t = 2, without depreciation, and does not discount the future. His utility from consumption ct in any period t is u (ct) = (ct)n, where 0 &lt; n &lt; 1. How much ﬁsh will A optimally consume in the two periods?</t>
  </si>
  <si>
    <t>c1 = c2 = f/2</t>
  </si>
  <si>
    <t>29</t>
  </si>
  <si>
    <t>Country C, which has a closed economy, has 10,000 identical farmers producing rice, with any farmer bearing cost 0.5q2 i +4qi +100 if he produces qi units of rice. C has many consumers of rice who generate an aggregate demand function Q = −10, 000p+400, 000, where p is the price per unit of rice. The price of rice in C used to be determined by competitive market conditions, but is currently regulated, and set at p = 30. Consumers pay this amount to buy a unit of rice, with the government of C buying all unsold units at 30 per unit. The government proposes to remove the price regulation and go back to competitive markets, with each farmer getting an equal ﬂat payment, total payment across all farmers being equal to the savings of the government from not having to purchase unsold rice. In order to implement this proposal, each farmer has to open a bank account at own cost. By how much does a farmer gain or lose from the policy shift, if it costs 300 to open an account?</t>
  </si>
  <si>
    <t>Policy shift causes income to rise by 4</t>
  </si>
  <si>
    <t xml:space="preserve">I had trouble evaluating this question due to the Really bad Coefficients But my understanding of Answering this question was as follows First find out the expenditure government is making And then divide by the 10,000 farmers to understand the Per unit Payment Minus the bank cost But I had some fundamental confusion regarding As far as I know that In a perfectly competitive market The profit should be zero And it again should be zero at the price floor that the government has made So the income at both those points should be strictly zero Over in my understanding something wrong and I have to calculate the profit as Perform Produ Into the Price of the product Minus the cost of the product For that quantity And this would be greater than zero even though it is a comparative market </t>
  </si>
  <si>
    <t>30</t>
  </si>
  <si>
    <t>A consumer consumes three goods, X, Y and Z. She is observed over three periods. In period 1, the unit prices of X, Y and Z are respectively 2,3 and 3, in period 2, the respective prices are 3,2 and 3, while in period 3, the respective prices are 3,3 and 2. The following consumption pattern is observed: in period 1, she consumes 3 units of X, 1 units of Y and 7 units of Z in period 2, the consumption amounts are 7 units of X, 3 units of Y and 1 unit of Z, while in period 3, the consumption amounts are 1 unit of X, 7 units of Y and 3 units of Z. Which of the following statements regarding the preferences of the consumer over bundles of X, Y and Z is correct?</t>
  </si>
  <si>
    <t>Preferences are intransitive though not necessarily incomplete</t>
  </si>
  <si>
    <t xml:space="preserve">I strictly did not understand this question as all the three Bundles Are having the same expenditure  In their prices given at those periods </t>
  </si>
  <si>
    <t>Consider a standard Solow style economy where the aggregate production function is given by Y = âˆš KN, where Y , K and N are output, capital stock, and size of pop- ulation/worker, respectively. Assume that there is no technological progress (g = 0) and no population growth (n = 0). Let Â¯K and Â¯Y be the steady state capital stock and output respectively. Further, the saving rate and depreciation of capital are represented by s âˆˆ[0, 1] and Î´ âˆˆ[0, 1] respectively. The steady state capital per worker and output per worker are, respectively, given by:</t>
  </si>
  <si>
    <t>sÎ´ and (sÎ´)2</t>
  </si>
  <si>
    <t>Continue with the same problem as above. Now assume that Î´ = 0.1. At the steady state, consumption per worker and the saving rate that maximises consumption per worker are given by, respectively:</t>
  </si>
  <si>
    <t>s(1âˆ’s) Î´ and s = 0.5</t>
  </si>
  <si>
    <t>Suppose in the economy the labour market wage setting equation is given as follows: W = P(1 âˆ’u) where W represents the nominal wage, u is the unemployment rate, and P is the price level. Suppose the production function is given by Y = N, where Y is output and N is the total labour force employed. Assume that the markup over marginal cost is 20% and the size of the total labour force L = 60. The natural rate of unemployment, un, and natural level of output, Yn, respectively, are given by:</t>
  </si>
  <si>
    <t>16.667% and 50</t>
  </si>
  <si>
    <t>Consider an open economy in which the exchange rate is ï¬xed and equal to 1. Let consumption (C), investment (I), taxes (T), government expenditure (G), imports (IM), and exports (X) satisfy the following: C = 20 + 0.8(Y âˆ’T); I = 10; G = 10; T = 10; IM = 0.3Y ; X = 0.3Y âˆ— where Y and Y âˆ—denote domestic output and foreign output respectively. Further, assume that the foreign economy is characterised by the same equations as the domestic economy. The value of the multiplier in the domestic economy is:</t>
  </si>
  <si>
    <t xml:space="preserve">I have major doubt in this Why are we not considering The multiplier effect from Foreign economy . Considering that My multiplier came out  25 by 8 Which is much higher than 2. The multiplier 2 only comes when you consider that The foreign economy is not changing But the question specially states that the foreign economy  Equation is the exact same as the domestic economy So it is being affected by how much the domestic economy is Through its export factor And in the question nowhere is it stated That it is a small economy also </t>
  </si>
  <si>
    <t>Continue with the same problem as above. Assume that the domestic government has a target level of output of 250. Assuming that the foreign government does not have any such target in mind (and does not change its expenditure, Gâˆ—). What is the increase in G necessary to achieve the target output in the domestic economy?</t>
  </si>
  <si>
    <t xml:space="preserve">Same question as above are we not considering the foreign economy effects </t>
  </si>
  <si>
    <t>Suppose per-capita output in an economy is represented by y where y = f(k) with f(k) an increasing and concave function of per-capita capital stock k. Let Y, K and L denote total output, aggregate capital, and population size (assume no unemployment) in an economy, respectively. Further, Y = A min{K, L} where A &gt; 0 is a parameter. If the wage (W) in the economy is determined by âˆ‚Y âˆ‚L and the rate of interest (R) is determined by âˆ‚Y âˆ‚K, which of the following statements is correct:</t>
  </si>
  <si>
    <t>R and W are the same for every level of k.</t>
  </si>
  <si>
    <t>Suppose consumption (C) follows the path d dt[eâˆ’ÏtU â€²(C)] = eâˆ’ÏtU â€²(C)r, where t repre- sents time, U(C) is the utility function that is increasing and strictly concave. Further, utility is discounted at a rate Ï &gt; 0, and the interest rate on capital is given by r &gt; 0. The notation d represents the total diï¬€erentiation, U â€²(C) represents the diï¬€erentiation of U with respect to C and, e represents the standard natural exponential function. Under what condition is dc dt positive, that is, consumption is increasing over time?</t>
  </si>
  <si>
    <t>r &lt; Ï</t>
  </si>
  <si>
    <t xml:space="preserve">Differentiating the given expression equation that was given in the question I'm getting That the derivative of By dt to be positive R plus rho must be negative But that is not possible right </t>
  </si>
  <si>
    <t>The present value of a householdâ€™s income is given by Pâˆž t=0 Î²tyt where yt is income in period t and Î² âˆˆ(0, 1) is a ï¬xed discount factor. Suppose that the income stream is given by {yt}âˆž t=0 = {yh, yl, yh, yl, . . . } with yh &gt; yl &gt; 0. Consider a constant consumption stream Â¯c that is given in every period so that the stream has the same present value as the present value of the income stream. Then Â¯c is equal to:</t>
  </si>
  <si>
    <t>Î²(yh+yl) 1âˆ’Î²</t>
  </si>
  <si>
    <t>There are 20 questions on an exam that many thousands of students take. Answers can either be correct or wrong, with no partial credit. The teaching assistant for the course calculates the average number of correct answers as 11.7 and the average number of wrong answers as 5.3. Has the teaching assistant made a mistake?</t>
  </si>
  <si>
    <t>Yes</t>
  </si>
  <si>
    <t>To examine the eï¬€ects of smoking, two studies considered pairs of twins. Each study examined 20 pairs. In the ï¬rst study: â€¢ In 15 out of 20 pairs, the smoking twin died ï¬rst. â€¢ In 5 pairs, the non-smoking twin died ï¬rst. In the second study: â€¢ In 12 out of 20 pairs, the smoking twin died ï¬rst. â€¢ In 8 pairs, the non-smoking twin died ï¬rst. Assuming that within a pair, the smoking and non-smoking twin are equally likely to die ï¬rst, what is the ratio of the probability of observing the outcome in the ï¬rst study to that of the second study?</t>
  </si>
  <si>
    <t>A researcher estimates the following regression: marks in economics = Î²0 + Î²1 Â· marks in mathematics where Î²0 was estimated to be 5, but Î²1 was lost. The average marks in economics and mathematics were 65 and 90, respectively. If someone scores 75 in mathematics, their predicted score is:</t>
  </si>
  <si>
    <t>Consider the experiment of tossing two fair coins. Let the event A be a head on the ï¬rst coin, the event C be a head on the second coin, the event D be that both coins match and the event G be two heads. Which of the following is false?</t>
  </si>
  <si>
    <t>A and D are statistically independent</t>
  </si>
  <si>
    <t xml:space="preserve">Mistakenly solved for true </t>
  </si>
  <si>
    <t>A bowl contains 5 chips: 3 marked Re. 1 and 2 marked Rs. 4. A player draws 2 chips at random and is paid the sum of the values of the chips. The playerâ€™s expected gain (in Rs.) is:</t>
  </si>
  <si>
    <t>above 4 and less than 5</t>
  </si>
  <si>
    <t xml:space="preserve">For this I used estimation As the exact Solution was getting a bit complex I use the estimation That there is replacement And thereby calculated The answer has 24 by 5 how would one do formally this without replacement case  </t>
  </si>
  <si>
    <t>A linear regression of Y on X is run on two diï¬€erent samples. The R2 of the ï¬rst regression is greater than that of the second. It follows that:</t>
  </si>
  <si>
    <t>The absolute value of the estimated coeï¬ƒcient on X is greater in the ï¬rst regression than in the second.</t>
  </si>
  <si>
    <t xml:space="preserve">Did not understand the question on the theory behind it In Ordinary least squares regression  I know that R Square is equivalent to the value of correlation squared But nowhere was it mentioned that we are doing OLS Also the slope coefficient is Correlation coefficient in Standard deviation of the variable Y by standard derivation of the variable X So I am feeling that there are too many unknowns  </t>
  </si>
  <si>
    <t>Suppose the standard deviation of x in a particular sample is 2 while that of y is 4. Then, it follows that the estimated slope coeï¬ƒcient in a linear regression of Y on X is:</t>
  </si>
  <si>
    <t>1/2 the correlation coeï¬ƒcient</t>
  </si>
  <si>
    <t>The function f : R â†’R is deï¬ned as f(x) = 4x3 âˆ’6x2 âˆ’72x. Then, f is:</t>
  </si>
  <si>
    <t>increasing in (âˆ’âˆž, âˆ’2) and decreasing in (âˆ’2, âˆž)</t>
  </si>
  <si>
    <t>The value of the sum 1 1Ã—2 + 1 2Ã—3 + 1 3Ã—4 + Â· Â· Â· + 1 2024Ã—2025 equals to</t>
  </si>
  <si>
    <t>Find two non-negative numbers x and y such that their sum is 16 and their sum of cubes is minimum across all positive numbers summing to 16.</t>
  </si>
  <si>
    <t xml:space="preserve">This I couldn’t do it formally had to rely on the intuition They were getting minimised at equal </t>
  </si>
  <si>
    <t>The value of the integral Z 2 1 log xdx equals</t>
  </si>
  <si>
    <t>log 2 âˆ’1</t>
  </si>
  <si>
    <t>What is the remainder when 62025 is divided by 25?</t>
  </si>
  <si>
    <t xml:space="preserve"> I was confused in the I had to use the options first of all And I was then confused between one and 6 as both could be possible  A reminder for Dividend with as powers of 6 So I chose one How do you do this type of questions formally I was able to see that 11 6 16 and 1 Are appearing in the remainders. </t>
  </si>
  <si>
    <t>Suppose a function f : N+ â†’N+, where N+ is the set of all positive integers, satisï¬es f(x + y) = f(x)f(y) for all positive integers x and y. If f(1) = 2, then the value of 2 + P2025 n=1 f(n) is:</t>
  </si>
  <si>
    <t>There are two types of consumers of samosas â€“ students and professors. Both students and professors stop consuming samosas when the price goes above Rs. 5. For every decrease in the price of samosas by a rupee, student demand goes up by 5 samosas, while Professor demand goes up by 10 samosas. If a monopolist has constant marginal cost of Re. 1 and can charge diï¬€erent prices to students and professors, which group will be charged a higher price?</t>
  </si>
  <si>
    <t>Not enough information</t>
  </si>
  <si>
    <t xml:space="preserve">Here I thought that the student demand curve is more inlastic compared to The professors demand curve Is it false </t>
  </si>
  <si>
    <t>Bharat and Chinmayi are the only two consumers for ice cream and both have downward- sloping, linear demand curves. Bharat never buys icecreams when price goes above Rs. 5 and Chinmayi never buys icecreams when the price goes above Rs. 10. Which of the following is true about the market demand curve?</t>
  </si>
  <si>
    <t>Will have a kink at Rs. 5 and will be ï¬‚atter to the left of the kink than to the right of the kink.</t>
  </si>
  <si>
    <t xml:space="preserve">This was taking a bit of time so how would one do this formally </t>
  </si>
  <si>
    <t>Suppose your total income is Rs. 200. Books cost Rs. 5 each, while all other goods (Y) cost Re. 1 each. Your utility from books and all other goods is given by: U(B, Y ) = 4B + 2Y . Now, suppose you are given a Rs. 50 gift card for the bookstore. The gift card can only be spent on books. What is the optimal consumption of books and other goods you will consume?</t>
  </si>
  <si>
    <t>20 books and 150 other goods</t>
  </si>
  <si>
    <t>Suppose the marginal cost of planting a tree is constant and is equal to Rs.25. There are 15 people living in a small town who have diï¬€erent preferences over the trees planted on the streets (trees are a public good). 5 people have high marginal beneï¬ts given by MBH = 100 âˆ’0.5Q, and the remaining ten people have low marginal beneï¬ts, MBL = 50âˆ’0.25Q, where Q is the number of trees planted on city streets. What is the maximum number of trees that can be potentially provided in this town if people share the cost of planting trees?</t>
  </si>
  <si>
    <t>Imagine a world where there are only two commodities, apples and bananas. A consumer has income w &gt; 0 and faces prices pa and pb for apples and bananas respectively. Her preferences over apple-banana bundles are as follows: she strictly prefers bundle x = (xa, xb) over bundle y = (ya, yb) (where x and y are distinct) if either (i) xa +xb &gt; ya +yb or (ii) xa + xb = ya + yb and xa &gt; ya. In other words, she strictly prefers bundle x to bundle y if x has more fruit than y or if the number of fruit in both bundles is the same and x has more apples. Let da(Pa, Pb, w) and db(Pa, Pb, w) denote the demand for apples and bananas respectively at (pa, pb, w). Consider the following statements: I. da(pa, pb, w) = w pa if pa &lt; pb II. da(pa, pb, w) = w pa if pa â‰¤pb III. db(pa, pb, w) = w pb if pb â‰¤pa IV. db(pa, pb, w) = w pb if pb &lt; pa V. db(pa, pb, w) = w p2 b if pb &lt; pa Which of the following statements is true?</t>
  </si>
  <si>
    <t>I and III</t>
  </si>
  <si>
    <t>Consider the same situation as in the previous question. Fix the consumerâ€™s income at w and consider changes in pa and pb. Which of the following is true?</t>
  </si>
  <si>
    <t>da(pa, pb) is continuous in pa, pb but db(pa, pb) is not continuous in pa, pb</t>
  </si>
  <si>
    <t xml:space="preserve">I had to rely on my graphical intuition The demand for a product in Three dimensional space Here was coming out The A equals to b  The function was behaving very differently When a point was located Below or above the line But how would one Cheque continuity in Multi variable space </t>
  </si>
  <si>
    <t>Consider a two commodity world where a commodity bundle x = (x1, x2). A consumer has a utility function U(x1, x2) = 4x2 1 + x2 2. For prices p1, p2 &gt; 0 and income w &gt; 0, she solves maxx1,x2 u(x1, x2) subject to p1x1 + p2x2 = w. Let X(p1, p2, w) be the set of solutions to her maximization problem, i.e., it is the set of commodity bundles that are optimal at (p1, p2, w). Which of the following statements are true?</t>
  </si>
  <si>
    <t>X(1, 1, 10) is not convex.</t>
  </si>
  <si>
    <t xml:space="preserve">I did not understand the question and the answers given Like for a particular value of Prices vector and wage More inc The optimal bundle would just be a point right Then why are they asking about concavity convexity If they were asking about the indifference curve being concave convex I would have understood and would have answered that it is not convex as  As the difference curves are concave Shaped like ellipse </t>
  </si>
  <si>
    <t>Suppose that a consumer has a preference relation represented by a utility function U : R2 + â†’R, deï¬ned by U(x, y) = x 1 + x + y. If px = py then</t>
  </si>
  <si>
    <t>The demand for good x is 0 and the demand for good y is positive.</t>
  </si>
  <si>
    <t xml:space="preserve">I had done this question with bang for Buck Utilisation where I am seeing that marginal utility of X would be strictly less than one which is the marginal utility of Y But this initially had confused me as I'm used to a shortcut When I see a quasi linear function We assume a fixed quantity Would be the optimum If budget is at the certain level for the quasi  part of Good Choice While the second good Would only be positive if the first goods optimum level is being satisfied But this was not applicable here Bye </t>
  </si>
  <si>
    <t>Consider an exchange economy with two consumers. Both consumers have the same preferences and endowments. If the preferences are strictly convex then the economy has</t>
  </si>
  <si>
    <t>no Pareto-eï¬ƒcient allocation.</t>
  </si>
  <si>
    <t xml:space="preserve">Here I had to rely on examples that I Could be possible in the question scenario Where contract cur Of more than one point Are always possible with cop Douglas type equations of the two agents therefore only D was the appropriate answer but what is the theory and actual formality behind this </t>
  </si>
  <si>
    <t>1. Take the mock test using the CBT testing facility for the PEA</t>
  </si>
  <si>
    <t>This workbook compiles the test designs for the ISI PEA exams spanning 2016 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</si>
</sst>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 fontId="3" fillId="0" borderId="0" xfId="0" applyNumberFormat="1" applyFont="1"/>
    <xf numFmtId="12" fontId="3" fillId="0" borderId="0" xfId="0" applyNumberFormat="1" applyFont="1"/>
    <xf numFmtId="49"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election activeCell="A13" sqref="A13"/>
    </sheetView>
  </sheetViews>
  <sheetFormatPr defaultRowHeight="14.4" x14ac:dyDescent="0.3"/>
  <cols>
    <col min="1" max="1" width="120" customWidth="1"/>
  </cols>
  <sheetData>
    <row r="1" spans="1:1" ht="18" x14ac:dyDescent="0.35">
      <c r="A1" s="1" t="s">
        <v>0</v>
      </c>
    </row>
    <row r="3" spans="1:1" x14ac:dyDescent="0.3">
      <c r="A3" t="s">
        <v>1</v>
      </c>
    </row>
    <row r="4" spans="1:1" x14ac:dyDescent="0.3">
      <c r="A4" t="s">
        <v>723</v>
      </c>
    </row>
    <row r="5" spans="1:1" x14ac:dyDescent="0.3">
      <c r="A5" t="s">
        <v>2</v>
      </c>
    </row>
    <row r="7" spans="1:1" x14ac:dyDescent="0.3">
      <c r="A7" s="2" t="s">
        <v>3</v>
      </c>
    </row>
    <row r="8" spans="1:1" x14ac:dyDescent="0.3">
      <c r="A8" t="s">
        <v>722</v>
      </c>
    </row>
    <row r="9" spans="1:1" x14ac:dyDescent="0.3">
      <c r="A9" t="s">
        <v>4</v>
      </c>
    </row>
    <row r="10" spans="1:1" x14ac:dyDescent="0.3">
      <c r="A10" t="s">
        <v>5</v>
      </c>
    </row>
    <row r="11" spans="1:1" x14ac:dyDescent="0.3">
      <c r="A11" t="s">
        <v>6</v>
      </c>
    </row>
    <row r="12" spans="1:1" x14ac:dyDescent="0.3">
      <c r="A12" t="s">
        <v>7</v>
      </c>
    </row>
    <row r="13" spans="1:1" x14ac:dyDescent="0.3">
      <c r="A13"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2"/>
  <sheetViews>
    <sheetView workbookViewId="0">
      <selection activeCell="F11" sqref="F11"/>
    </sheetView>
  </sheetViews>
  <sheetFormatPr defaultRowHeight="14.4" x14ac:dyDescent="0.3"/>
  <cols>
    <col min="1" max="1" width="15" customWidth="1"/>
    <col min="2" max="2" width="50" customWidth="1"/>
    <col min="3" max="3" width="23"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11</v>
      </c>
      <c r="D1" t="s">
        <v>12</v>
      </c>
      <c r="E1" t="s">
        <v>13</v>
      </c>
      <c r="F1" t="s">
        <v>14</v>
      </c>
      <c r="G1" t="s">
        <v>15</v>
      </c>
      <c r="H1" t="s">
        <v>16</v>
      </c>
      <c r="I1" t="s">
        <v>17</v>
      </c>
      <c r="J1" t="s">
        <v>18</v>
      </c>
      <c r="K1" t="s">
        <v>19</v>
      </c>
      <c r="L1" t="s">
        <v>20</v>
      </c>
      <c r="M1" t="s">
        <v>21</v>
      </c>
    </row>
    <row r="2" spans="1:13" x14ac:dyDescent="0.3">
      <c r="A2">
        <v>1</v>
      </c>
      <c r="B2" t="s">
        <v>22</v>
      </c>
      <c r="C2" t="s">
        <v>23</v>
      </c>
      <c r="D2" t="s">
        <v>24</v>
      </c>
      <c r="E2" t="s">
        <v>23</v>
      </c>
      <c r="F2">
        <f t="shared" ref="F2:F31" si="0">IF(C2&lt;&gt;E2,-1,4)</f>
        <v>4</v>
      </c>
      <c r="G2">
        <v>74</v>
      </c>
      <c r="H2" t="str">
        <f t="shared" ref="H2:H31" si="1">IF(F2=4,"Correct",IF(F2=0,"Unattempted","Incorrect"))</f>
        <v>Correct</v>
      </c>
      <c r="I2">
        <f t="shared" ref="I2:I31" si="2">COUNTIF(H2,"=Unattempted") + COUNTIF(H2,"=Incorrect")</f>
        <v>0</v>
      </c>
      <c r="J2">
        <v>1</v>
      </c>
      <c r="K2" t="str">
        <f t="shared" ref="K2:K31" si="3">IF(I2,J2,"")</f>
        <v/>
      </c>
    </row>
    <row r="3" spans="1:13" x14ac:dyDescent="0.3">
      <c r="A3">
        <v>2</v>
      </c>
      <c r="B3" t="s">
        <v>25</v>
      </c>
      <c r="C3" t="s">
        <v>26</v>
      </c>
      <c r="D3" t="s">
        <v>27</v>
      </c>
      <c r="E3" t="s">
        <v>26</v>
      </c>
      <c r="F3">
        <f t="shared" si="0"/>
        <v>4</v>
      </c>
      <c r="G3">
        <v>85</v>
      </c>
      <c r="H3" t="str">
        <f t="shared" si="1"/>
        <v>Correct</v>
      </c>
      <c r="I3">
        <f t="shared" si="2"/>
        <v>0</v>
      </c>
      <c r="J3">
        <v>2</v>
      </c>
      <c r="K3" t="str">
        <f t="shared" si="3"/>
        <v/>
      </c>
    </row>
    <row r="4" spans="1:13" x14ac:dyDescent="0.3">
      <c r="A4">
        <v>3</v>
      </c>
      <c r="B4" t="s">
        <v>28</v>
      </c>
      <c r="C4" t="s">
        <v>29</v>
      </c>
      <c r="D4" t="s">
        <v>30</v>
      </c>
      <c r="E4" t="s">
        <v>29</v>
      </c>
      <c r="F4">
        <f t="shared" si="0"/>
        <v>4</v>
      </c>
      <c r="G4">
        <v>133</v>
      </c>
      <c r="H4" t="str">
        <f t="shared" si="1"/>
        <v>Correct</v>
      </c>
      <c r="I4">
        <f t="shared" si="2"/>
        <v>0</v>
      </c>
      <c r="J4">
        <v>3</v>
      </c>
      <c r="K4" t="str">
        <f t="shared" si="3"/>
        <v/>
      </c>
    </row>
    <row r="5" spans="1:13" x14ac:dyDescent="0.3">
      <c r="A5">
        <v>4</v>
      </c>
      <c r="B5" t="s">
        <v>31</v>
      </c>
      <c r="C5" t="s">
        <v>32</v>
      </c>
      <c r="D5">
        <v>1024</v>
      </c>
      <c r="E5" t="s">
        <v>32</v>
      </c>
      <c r="F5">
        <f t="shared" si="0"/>
        <v>4</v>
      </c>
      <c r="G5">
        <v>184</v>
      </c>
      <c r="H5" t="str">
        <f t="shared" si="1"/>
        <v>Correct</v>
      </c>
      <c r="I5">
        <f t="shared" si="2"/>
        <v>0</v>
      </c>
      <c r="J5">
        <v>4</v>
      </c>
      <c r="K5" t="str">
        <f t="shared" si="3"/>
        <v/>
      </c>
    </row>
    <row r="6" spans="1:13" x14ac:dyDescent="0.3">
      <c r="A6">
        <v>5</v>
      </c>
      <c r="B6" t="s">
        <v>33</v>
      </c>
      <c r="C6" t="s">
        <v>23</v>
      </c>
      <c r="D6" t="s">
        <v>34</v>
      </c>
      <c r="E6" t="s">
        <v>23</v>
      </c>
      <c r="F6">
        <f t="shared" si="0"/>
        <v>4</v>
      </c>
      <c r="G6">
        <v>168</v>
      </c>
      <c r="H6" t="str">
        <f t="shared" si="1"/>
        <v>Correct</v>
      </c>
      <c r="I6">
        <f t="shared" si="2"/>
        <v>0</v>
      </c>
      <c r="J6">
        <v>5</v>
      </c>
      <c r="K6" t="str">
        <f t="shared" si="3"/>
        <v/>
      </c>
      <c r="L6">
        <v>5</v>
      </c>
      <c r="M6" t="s">
        <v>35</v>
      </c>
    </row>
    <row r="7" spans="1:13" x14ac:dyDescent="0.3">
      <c r="A7">
        <v>6</v>
      </c>
      <c r="B7" t="s">
        <v>36</v>
      </c>
      <c r="C7" t="s">
        <v>29</v>
      </c>
      <c r="D7" t="s">
        <v>37</v>
      </c>
      <c r="E7" t="s">
        <v>29</v>
      </c>
      <c r="F7">
        <f t="shared" si="0"/>
        <v>4</v>
      </c>
      <c r="G7">
        <v>147</v>
      </c>
      <c r="H7" t="str">
        <f t="shared" si="1"/>
        <v>Correct</v>
      </c>
      <c r="I7">
        <f t="shared" si="2"/>
        <v>0</v>
      </c>
      <c r="J7">
        <v>6</v>
      </c>
      <c r="K7" t="str">
        <f t="shared" si="3"/>
        <v/>
      </c>
    </row>
    <row r="8" spans="1:13" x14ac:dyDescent="0.3">
      <c r="A8">
        <v>7</v>
      </c>
      <c r="B8" t="s">
        <v>38</v>
      </c>
      <c r="C8" t="s">
        <v>29</v>
      </c>
      <c r="D8" t="s">
        <v>39</v>
      </c>
      <c r="E8" t="s">
        <v>29</v>
      </c>
      <c r="F8">
        <f t="shared" si="0"/>
        <v>4</v>
      </c>
      <c r="G8">
        <v>79</v>
      </c>
      <c r="H8" t="str">
        <f t="shared" si="1"/>
        <v>Correct</v>
      </c>
      <c r="I8">
        <f t="shared" si="2"/>
        <v>0</v>
      </c>
      <c r="J8">
        <v>7</v>
      </c>
      <c r="K8" t="str">
        <f t="shared" si="3"/>
        <v/>
      </c>
    </row>
    <row r="9" spans="1:13" x14ac:dyDescent="0.3">
      <c r="A9">
        <v>8</v>
      </c>
      <c r="B9" t="s">
        <v>40</v>
      </c>
      <c r="C9" t="s">
        <v>26</v>
      </c>
      <c r="D9">
        <v>0.35</v>
      </c>
      <c r="E9" t="s">
        <v>26</v>
      </c>
      <c r="F9">
        <f t="shared" si="0"/>
        <v>4</v>
      </c>
      <c r="G9">
        <v>96</v>
      </c>
      <c r="H9" t="str">
        <f t="shared" si="1"/>
        <v>Correct</v>
      </c>
      <c r="I9">
        <f t="shared" si="2"/>
        <v>0</v>
      </c>
      <c r="J9">
        <v>8</v>
      </c>
      <c r="K9" t="str">
        <f t="shared" si="3"/>
        <v/>
      </c>
      <c r="L9">
        <v>8</v>
      </c>
      <c r="M9" t="s">
        <v>41</v>
      </c>
    </row>
    <row r="10" spans="1:13" x14ac:dyDescent="0.3">
      <c r="A10">
        <v>9</v>
      </c>
      <c r="B10" t="s">
        <v>42</v>
      </c>
      <c r="C10" t="s">
        <v>32</v>
      </c>
      <c r="D10" t="s">
        <v>43</v>
      </c>
      <c r="E10" t="s">
        <v>32</v>
      </c>
      <c r="F10">
        <f t="shared" si="0"/>
        <v>4</v>
      </c>
      <c r="G10">
        <v>289</v>
      </c>
      <c r="H10" t="str">
        <f t="shared" si="1"/>
        <v>Correct</v>
      </c>
      <c r="I10">
        <f t="shared" si="2"/>
        <v>0</v>
      </c>
      <c r="J10">
        <v>9</v>
      </c>
      <c r="K10" t="str">
        <f t="shared" si="3"/>
        <v/>
      </c>
    </row>
    <row r="11" spans="1:13" x14ac:dyDescent="0.3">
      <c r="A11">
        <v>10</v>
      </c>
      <c r="B11" t="s">
        <v>44</v>
      </c>
      <c r="C11" t="s">
        <v>32</v>
      </c>
      <c r="D11" t="s">
        <v>45</v>
      </c>
      <c r="E11" t="s">
        <v>32</v>
      </c>
      <c r="F11">
        <f t="shared" si="0"/>
        <v>4</v>
      </c>
      <c r="G11">
        <v>270</v>
      </c>
      <c r="H11" t="str">
        <f t="shared" si="1"/>
        <v>Correct</v>
      </c>
      <c r="I11">
        <f t="shared" si="2"/>
        <v>0</v>
      </c>
      <c r="J11">
        <v>10</v>
      </c>
      <c r="K11" t="str">
        <f t="shared" si="3"/>
        <v/>
      </c>
      <c r="L11">
        <v>10</v>
      </c>
      <c r="M11" t="s">
        <v>46</v>
      </c>
    </row>
    <row r="12" spans="1:13" x14ac:dyDescent="0.3">
      <c r="A12">
        <v>11</v>
      </c>
      <c r="B12" t="s">
        <v>47</v>
      </c>
      <c r="C12" t="s">
        <v>29</v>
      </c>
      <c r="D12" t="s">
        <v>37</v>
      </c>
      <c r="E12" t="s">
        <v>29</v>
      </c>
      <c r="F12">
        <f t="shared" si="0"/>
        <v>4</v>
      </c>
      <c r="G12">
        <v>318</v>
      </c>
      <c r="H12" t="str">
        <f t="shared" si="1"/>
        <v>Correct</v>
      </c>
      <c r="I12">
        <f t="shared" si="2"/>
        <v>0</v>
      </c>
      <c r="J12">
        <v>11</v>
      </c>
      <c r="K12" t="str">
        <f t="shared" si="3"/>
        <v/>
      </c>
    </row>
    <row r="13" spans="1:13" x14ac:dyDescent="0.3">
      <c r="A13">
        <v>12</v>
      </c>
      <c r="B13" t="s">
        <v>48</v>
      </c>
      <c r="C13" t="s">
        <v>26</v>
      </c>
      <c r="D13" t="s">
        <v>49</v>
      </c>
      <c r="E13" t="s">
        <v>26</v>
      </c>
      <c r="F13">
        <f t="shared" si="0"/>
        <v>4</v>
      </c>
      <c r="G13">
        <v>92</v>
      </c>
      <c r="H13" t="str">
        <f t="shared" si="1"/>
        <v>Correct</v>
      </c>
      <c r="I13">
        <f t="shared" si="2"/>
        <v>0</v>
      </c>
      <c r="J13">
        <v>12</v>
      </c>
      <c r="K13" t="str">
        <f t="shared" si="3"/>
        <v/>
      </c>
    </row>
    <row r="14" spans="1:13" x14ac:dyDescent="0.3">
      <c r="A14">
        <v>13</v>
      </c>
      <c r="B14" t="s">
        <v>50</v>
      </c>
      <c r="C14" t="s">
        <v>32</v>
      </c>
      <c r="D14" t="s">
        <v>51</v>
      </c>
      <c r="E14" t="s">
        <v>23</v>
      </c>
      <c r="F14">
        <f t="shared" si="0"/>
        <v>-1</v>
      </c>
      <c r="G14">
        <v>288</v>
      </c>
      <c r="H14" t="str">
        <f t="shared" si="1"/>
        <v>Incorrect</v>
      </c>
      <c r="I14">
        <f t="shared" si="2"/>
        <v>1</v>
      </c>
      <c r="J14">
        <v>13</v>
      </c>
      <c r="K14">
        <f t="shared" si="3"/>
        <v>13</v>
      </c>
      <c r="L14">
        <v>13</v>
      </c>
      <c r="M14" t="s">
        <v>52</v>
      </c>
    </row>
    <row r="15" spans="1:13" x14ac:dyDescent="0.3">
      <c r="A15">
        <v>14</v>
      </c>
      <c r="B15" t="s">
        <v>53</v>
      </c>
      <c r="C15" t="s">
        <v>32</v>
      </c>
      <c r="D15" t="s">
        <v>54</v>
      </c>
      <c r="E15" t="s">
        <v>29</v>
      </c>
      <c r="F15">
        <f t="shared" si="0"/>
        <v>-1</v>
      </c>
      <c r="G15">
        <v>478</v>
      </c>
      <c r="H15" t="str">
        <f t="shared" si="1"/>
        <v>Incorrect</v>
      </c>
      <c r="I15">
        <f t="shared" si="2"/>
        <v>1</v>
      </c>
      <c r="J15">
        <v>14</v>
      </c>
      <c r="K15">
        <f t="shared" si="3"/>
        <v>14</v>
      </c>
      <c r="L15">
        <v>14</v>
      </c>
      <c r="M15" t="s">
        <v>55</v>
      </c>
    </row>
    <row r="16" spans="1:13" x14ac:dyDescent="0.3">
      <c r="A16">
        <v>15</v>
      </c>
      <c r="B16" t="s">
        <v>56</v>
      </c>
      <c r="C16" t="s">
        <v>23</v>
      </c>
      <c r="D16" t="s">
        <v>57</v>
      </c>
      <c r="E16" t="s">
        <v>23</v>
      </c>
      <c r="F16">
        <f t="shared" si="0"/>
        <v>4</v>
      </c>
      <c r="G16">
        <v>460</v>
      </c>
      <c r="H16" t="str">
        <f t="shared" si="1"/>
        <v>Correct</v>
      </c>
      <c r="I16">
        <f t="shared" si="2"/>
        <v>0</v>
      </c>
      <c r="J16">
        <v>15</v>
      </c>
      <c r="K16" t="str">
        <f t="shared" si="3"/>
        <v/>
      </c>
    </row>
    <row r="17" spans="1:13" x14ac:dyDescent="0.3">
      <c r="A17">
        <v>16</v>
      </c>
      <c r="B17" t="s">
        <v>58</v>
      </c>
      <c r="C17" t="s">
        <v>29</v>
      </c>
      <c r="D17">
        <v>1</v>
      </c>
      <c r="E17" t="s">
        <v>29</v>
      </c>
      <c r="F17">
        <f t="shared" si="0"/>
        <v>4</v>
      </c>
      <c r="G17">
        <v>82</v>
      </c>
      <c r="H17" t="str">
        <f t="shared" si="1"/>
        <v>Correct</v>
      </c>
      <c r="I17">
        <f t="shared" si="2"/>
        <v>0</v>
      </c>
      <c r="J17">
        <v>16</v>
      </c>
      <c r="K17" t="str">
        <f t="shared" si="3"/>
        <v/>
      </c>
    </row>
    <row r="18" spans="1:13" x14ac:dyDescent="0.3">
      <c r="A18">
        <v>17</v>
      </c>
      <c r="B18" t="s">
        <v>59</v>
      </c>
      <c r="C18" t="s">
        <v>23</v>
      </c>
      <c r="D18" t="s">
        <v>60</v>
      </c>
      <c r="E18" t="s">
        <v>23</v>
      </c>
      <c r="F18">
        <f t="shared" si="0"/>
        <v>4</v>
      </c>
      <c r="G18">
        <v>165</v>
      </c>
      <c r="H18" t="str">
        <f t="shared" si="1"/>
        <v>Correct</v>
      </c>
      <c r="I18">
        <f t="shared" si="2"/>
        <v>0</v>
      </c>
      <c r="J18">
        <v>17</v>
      </c>
      <c r="K18" t="str">
        <f t="shared" si="3"/>
        <v/>
      </c>
      <c r="L18">
        <v>17</v>
      </c>
      <c r="M18" t="s">
        <v>61</v>
      </c>
    </row>
    <row r="19" spans="1:13" x14ac:dyDescent="0.3">
      <c r="A19">
        <v>18</v>
      </c>
      <c r="B19" t="s">
        <v>62</v>
      </c>
      <c r="C19" t="s">
        <v>26</v>
      </c>
      <c r="D19" t="s">
        <v>63</v>
      </c>
      <c r="E19" t="s">
        <v>26</v>
      </c>
      <c r="F19">
        <f t="shared" si="0"/>
        <v>4</v>
      </c>
      <c r="G19">
        <v>200</v>
      </c>
      <c r="H19" t="str">
        <f t="shared" si="1"/>
        <v>Correct</v>
      </c>
      <c r="I19">
        <f t="shared" si="2"/>
        <v>0</v>
      </c>
      <c r="J19">
        <v>18</v>
      </c>
      <c r="K19" t="str">
        <f t="shared" si="3"/>
        <v/>
      </c>
      <c r="L19">
        <v>18</v>
      </c>
      <c r="M19" t="s">
        <v>64</v>
      </c>
    </row>
    <row r="20" spans="1:13" x14ac:dyDescent="0.3">
      <c r="A20">
        <v>19</v>
      </c>
      <c r="B20" t="s">
        <v>65</v>
      </c>
      <c r="C20" t="s">
        <v>23</v>
      </c>
      <c r="D20" t="s">
        <v>66</v>
      </c>
      <c r="E20" t="s">
        <v>23</v>
      </c>
      <c r="F20">
        <f t="shared" si="0"/>
        <v>4</v>
      </c>
      <c r="G20">
        <v>204</v>
      </c>
      <c r="H20" t="str">
        <f t="shared" si="1"/>
        <v>Correct</v>
      </c>
      <c r="I20">
        <f t="shared" si="2"/>
        <v>0</v>
      </c>
      <c r="J20">
        <v>19</v>
      </c>
      <c r="K20" t="str">
        <f t="shared" si="3"/>
        <v/>
      </c>
    </row>
    <row r="21" spans="1:13" x14ac:dyDescent="0.3">
      <c r="A21">
        <v>20</v>
      </c>
      <c r="B21" t="s">
        <v>67</v>
      </c>
      <c r="C21" t="s">
        <v>23</v>
      </c>
      <c r="D21" t="s">
        <v>68</v>
      </c>
      <c r="E21" t="s">
        <v>23</v>
      </c>
      <c r="F21">
        <f t="shared" si="0"/>
        <v>4</v>
      </c>
      <c r="G21">
        <v>381</v>
      </c>
      <c r="H21" t="str">
        <f t="shared" si="1"/>
        <v>Correct</v>
      </c>
      <c r="I21">
        <f t="shared" si="2"/>
        <v>0</v>
      </c>
      <c r="J21">
        <v>20</v>
      </c>
      <c r="K21" t="str">
        <f t="shared" si="3"/>
        <v/>
      </c>
    </row>
    <row r="22" spans="1:13" x14ac:dyDescent="0.3">
      <c r="A22">
        <v>21</v>
      </c>
      <c r="B22" t="s">
        <v>69</v>
      </c>
      <c r="C22" t="s">
        <v>29</v>
      </c>
      <c r="D22" t="s">
        <v>70</v>
      </c>
      <c r="E22" t="s">
        <v>29</v>
      </c>
      <c r="F22">
        <f t="shared" si="0"/>
        <v>4</v>
      </c>
      <c r="G22">
        <v>217</v>
      </c>
      <c r="H22" t="str">
        <f t="shared" si="1"/>
        <v>Correct</v>
      </c>
      <c r="I22">
        <f t="shared" si="2"/>
        <v>0</v>
      </c>
      <c r="J22">
        <v>21</v>
      </c>
      <c r="K22" t="str">
        <f t="shared" si="3"/>
        <v/>
      </c>
    </row>
    <row r="23" spans="1:13" x14ac:dyDescent="0.3">
      <c r="A23">
        <v>22</v>
      </c>
      <c r="B23" t="s">
        <v>71</v>
      </c>
      <c r="C23" t="s">
        <v>32</v>
      </c>
      <c r="D23" t="s">
        <v>49</v>
      </c>
      <c r="E23" t="s">
        <v>32</v>
      </c>
      <c r="F23">
        <f t="shared" si="0"/>
        <v>4</v>
      </c>
      <c r="G23">
        <v>513</v>
      </c>
      <c r="H23" t="str">
        <f t="shared" si="1"/>
        <v>Correct</v>
      </c>
      <c r="I23">
        <f t="shared" si="2"/>
        <v>0</v>
      </c>
      <c r="J23">
        <v>22</v>
      </c>
      <c r="K23" t="str">
        <f t="shared" si="3"/>
        <v/>
      </c>
      <c r="L23">
        <v>22</v>
      </c>
      <c r="M23" t="s">
        <v>72</v>
      </c>
    </row>
    <row r="24" spans="1:13" x14ac:dyDescent="0.3">
      <c r="A24">
        <v>23</v>
      </c>
      <c r="B24" t="s">
        <v>73</v>
      </c>
      <c r="C24" t="s">
        <v>26</v>
      </c>
      <c r="D24">
        <v>1</v>
      </c>
      <c r="E24" t="s">
        <v>26</v>
      </c>
      <c r="F24">
        <f t="shared" si="0"/>
        <v>4</v>
      </c>
      <c r="G24">
        <v>102</v>
      </c>
      <c r="H24" t="str">
        <f t="shared" si="1"/>
        <v>Correct</v>
      </c>
      <c r="I24">
        <f t="shared" si="2"/>
        <v>0</v>
      </c>
      <c r="J24">
        <v>23</v>
      </c>
      <c r="K24" t="str">
        <f t="shared" si="3"/>
        <v/>
      </c>
    </row>
    <row r="25" spans="1:13" x14ac:dyDescent="0.3">
      <c r="A25">
        <v>24</v>
      </c>
      <c r="B25" t="s">
        <v>74</v>
      </c>
      <c r="C25" t="s">
        <v>32</v>
      </c>
      <c r="D25">
        <v>66</v>
      </c>
      <c r="E25" t="s">
        <v>32</v>
      </c>
      <c r="F25">
        <f t="shared" si="0"/>
        <v>4</v>
      </c>
      <c r="G25">
        <v>32</v>
      </c>
      <c r="H25" t="str">
        <f t="shared" si="1"/>
        <v>Correct</v>
      </c>
      <c r="I25">
        <f t="shared" si="2"/>
        <v>0</v>
      </c>
      <c r="J25">
        <v>24</v>
      </c>
      <c r="K25" t="str">
        <f t="shared" si="3"/>
        <v/>
      </c>
    </row>
    <row r="26" spans="1:13" x14ac:dyDescent="0.3">
      <c r="A26">
        <v>25</v>
      </c>
      <c r="B26" t="s">
        <v>75</v>
      </c>
      <c r="C26" t="s">
        <v>23</v>
      </c>
      <c r="D26" t="s">
        <v>76</v>
      </c>
      <c r="E26" t="s">
        <v>23</v>
      </c>
      <c r="F26">
        <f t="shared" si="0"/>
        <v>4</v>
      </c>
      <c r="G26">
        <v>475</v>
      </c>
      <c r="H26" t="str">
        <f t="shared" si="1"/>
        <v>Correct</v>
      </c>
      <c r="I26">
        <f t="shared" si="2"/>
        <v>0</v>
      </c>
      <c r="J26">
        <v>25</v>
      </c>
      <c r="K26" t="str">
        <f t="shared" si="3"/>
        <v/>
      </c>
      <c r="L26">
        <v>25</v>
      </c>
      <c r="M26" t="s">
        <v>77</v>
      </c>
    </row>
    <row r="27" spans="1:13" x14ac:dyDescent="0.3">
      <c r="A27">
        <v>26</v>
      </c>
      <c r="B27" t="s">
        <v>78</v>
      </c>
      <c r="C27" t="s">
        <v>29</v>
      </c>
      <c r="D27" t="s">
        <v>79</v>
      </c>
      <c r="E27" t="s">
        <v>29</v>
      </c>
      <c r="F27">
        <f t="shared" si="0"/>
        <v>4</v>
      </c>
      <c r="G27">
        <v>276</v>
      </c>
      <c r="H27" t="str">
        <f t="shared" si="1"/>
        <v>Correct</v>
      </c>
      <c r="I27">
        <f t="shared" si="2"/>
        <v>0</v>
      </c>
      <c r="J27">
        <v>26</v>
      </c>
      <c r="K27" t="str">
        <f t="shared" si="3"/>
        <v/>
      </c>
      <c r="L27">
        <v>26</v>
      </c>
      <c r="M27" t="s">
        <v>80</v>
      </c>
    </row>
    <row r="28" spans="1:13" x14ac:dyDescent="0.3">
      <c r="A28">
        <v>27</v>
      </c>
      <c r="B28" t="s">
        <v>81</v>
      </c>
      <c r="C28" t="s">
        <v>32</v>
      </c>
      <c r="D28" t="s">
        <v>82</v>
      </c>
      <c r="E28" t="s">
        <v>32</v>
      </c>
      <c r="F28">
        <f t="shared" si="0"/>
        <v>4</v>
      </c>
      <c r="G28">
        <v>242</v>
      </c>
      <c r="H28" t="str">
        <f t="shared" si="1"/>
        <v>Correct</v>
      </c>
      <c r="I28">
        <f t="shared" si="2"/>
        <v>0</v>
      </c>
      <c r="J28">
        <v>27</v>
      </c>
      <c r="K28" t="str">
        <f t="shared" si="3"/>
        <v/>
      </c>
    </row>
    <row r="29" spans="1:13" x14ac:dyDescent="0.3">
      <c r="A29">
        <v>28</v>
      </c>
      <c r="B29" t="s">
        <v>83</v>
      </c>
      <c r="C29" t="s">
        <v>32</v>
      </c>
      <c r="D29" t="s">
        <v>84</v>
      </c>
      <c r="E29" t="s">
        <v>23</v>
      </c>
      <c r="F29">
        <f t="shared" si="0"/>
        <v>-1</v>
      </c>
      <c r="G29">
        <v>157</v>
      </c>
      <c r="H29" t="str">
        <f t="shared" si="1"/>
        <v>Incorrect</v>
      </c>
      <c r="I29">
        <f t="shared" si="2"/>
        <v>1</v>
      </c>
      <c r="J29">
        <v>28</v>
      </c>
      <c r="K29">
        <f t="shared" si="3"/>
        <v>28</v>
      </c>
      <c r="L29">
        <v>28</v>
      </c>
      <c r="M29" t="s">
        <v>85</v>
      </c>
    </row>
    <row r="30" spans="1:13" x14ac:dyDescent="0.3">
      <c r="A30">
        <v>29</v>
      </c>
      <c r="B30" t="s">
        <v>86</v>
      </c>
      <c r="C30" t="s">
        <v>32</v>
      </c>
      <c r="D30" t="s">
        <v>87</v>
      </c>
      <c r="E30" t="s">
        <v>32</v>
      </c>
      <c r="F30">
        <f t="shared" si="0"/>
        <v>4</v>
      </c>
      <c r="G30">
        <v>669</v>
      </c>
      <c r="H30" t="str">
        <f t="shared" si="1"/>
        <v>Correct</v>
      </c>
      <c r="I30">
        <f t="shared" si="2"/>
        <v>0</v>
      </c>
      <c r="J30">
        <v>29</v>
      </c>
      <c r="K30" t="str">
        <f t="shared" si="3"/>
        <v/>
      </c>
    </row>
    <row r="31" spans="1:13" x14ac:dyDescent="0.3">
      <c r="A31">
        <v>30</v>
      </c>
      <c r="B31" t="s">
        <v>88</v>
      </c>
      <c r="C31" t="s">
        <v>23</v>
      </c>
      <c r="D31">
        <v>3</v>
      </c>
      <c r="E31" t="s">
        <v>26</v>
      </c>
      <c r="F31">
        <f t="shared" si="0"/>
        <v>-1</v>
      </c>
      <c r="G31">
        <v>324</v>
      </c>
      <c r="H31" t="str">
        <f t="shared" si="1"/>
        <v>Incorrect</v>
      </c>
      <c r="I31">
        <f t="shared" si="2"/>
        <v>1</v>
      </c>
      <c r="J31">
        <v>30</v>
      </c>
      <c r="K31">
        <f t="shared" si="3"/>
        <v>30</v>
      </c>
      <c r="M31" t="s">
        <v>89</v>
      </c>
    </row>
    <row r="32" spans="1:13" x14ac:dyDescent="0.3">
      <c r="F32">
        <f>SUM(F2:F31)</f>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2"/>
  <sheetViews>
    <sheetView workbookViewId="0"/>
  </sheetViews>
  <sheetFormatPr defaultRowHeight="14.4" x14ac:dyDescent="0.3"/>
  <cols>
    <col min="1" max="1" width="15" customWidth="1"/>
    <col min="2" max="2" width="50" customWidth="1"/>
    <col min="3" max="3" width="23"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11</v>
      </c>
      <c r="D1" t="s">
        <v>12</v>
      </c>
      <c r="E1" t="s">
        <v>13</v>
      </c>
      <c r="F1" t="s">
        <v>14</v>
      </c>
      <c r="G1" t="s">
        <v>15</v>
      </c>
      <c r="H1" t="s">
        <v>16</v>
      </c>
      <c r="I1" t="s">
        <v>17</v>
      </c>
      <c r="J1" t="s">
        <v>18</v>
      </c>
      <c r="K1" t="s">
        <v>19</v>
      </c>
      <c r="L1" t="s">
        <v>20</v>
      </c>
      <c r="M1" t="s">
        <v>21</v>
      </c>
    </row>
    <row r="2" spans="1:13" x14ac:dyDescent="0.3">
      <c r="A2">
        <v>1</v>
      </c>
      <c r="B2" t="s">
        <v>90</v>
      </c>
      <c r="C2" t="s">
        <v>29</v>
      </c>
      <c r="D2">
        <v>4</v>
      </c>
      <c r="E2" t="s">
        <v>29</v>
      </c>
      <c r="F2">
        <f t="shared" ref="F2:F31" si="0">IF(C2&lt;&gt;E2,-1,4)</f>
        <v>4</v>
      </c>
      <c r="G2">
        <v>205</v>
      </c>
      <c r="H2" t="str">
        <f t="shared" ref="H2:H31" si="1">IF(F2=4,"Correct",IF(F2=0,"Unattempted","Incorrect"))</f>
        <v>Correct</v>
      </c>
      <c r="I2">
        <f t="shared" ref="I2:I31" si="2">COUNTIF(H2,"=Unattempted") + COUNTIF(H2,"=Incorrect")</f>
        <v>0</v>
      </c>
      <c r="J2">
        <v>1</v>
      </c>
      <c r="K2" t="str">
        <f t="shared" ref="K2:K31" si="3">IF(I2,J2,"")</f>
        <v/>
      </c>
    </row>
    <row r="3" spans="1:13" x14ac:dyDescent="0.3">
      <c r="A3">
        <v>2</v>
      </c>
      <c r="B3" t="s">
        <v>91</v>
      </c>
      <c r="C3" t="s">
        <v>29</v>
      </c>
      <c r="D3" t="s">
        <v>92</v>
      </c>
      <c r="E3" t="s">
        <v>29</v>
      </c>
      <c r="F3">
        <f t="shared" si="0"/>
        <v>4</v>
      </c>
      <c r="G3">
        <v>69</v>
      </c>
      <c r="H3" t="str">
        <f t="shared" si="1"/>
        <v>Correct</v>
      </c>
      <c r="I3">
        <f t="shared" si="2"/>
        <v>0</v>
      </c>
      <c r="J3">
        <v>2</v>
      </c>
      <c r="K3" t="str">
        <f t="shared" si="3"/>
        <v/>
      </c>
    </row>
    <row r="4" spans="1:13" x14ac:dyDescent="0.3">
      <c r="A4">
        <v>3</v>
      </c>
      <c r="B4" t="s">
        <v>93</v>
      </c>
      <c r="C4" t="s">
        <v>23</v>
      </c>
      <c r="D4" t="s">
        <v>94</v>
      </c>
      <c r="E4" t="s">
        <v>23</v>
      </c>
      <c r="F4">
        <f t="shared" si="0"/>
        <v>4</v>
      </c>
      <c r="G4">
        <v>201</v>
      </c>
      <c r="H4" t="str">
        <f t="shared" si="1"/>
        <v>Correct</v>
      </c>
      <c r="I4">
        <f t="shared" si="2"/>
        <v>0</v>
      </c>
      <c r="J4">
        <v>3</v>
      </c>
      <c r="K4" t="str">
        <f t="shared" si="3"/>
        <v/>
      </c>
    </row>
    <row r="5" spans="1:13" x14ac:dyDescent="0.3">
      <c r="A5">
        <v>4</v>
      </c>
      <c r="B5" t="s">
        <v>95</v>
      </c>
      <c r="C5" t="s">
        <v>23</v>
      </c>
      <c r="D5" t="s">
        <v>96</v>
      </c>
      <c r="E5" t="s">
        <v>23</v>
      </c>
      <c r="F5">
        <f t="shared" si="0"/>
        <v>4</v>
      </c>
      <c r="G5">
        <v>20</v>
      </c>
      <c r="H5" t="str">
        <f t="shared" si="1"/>
        <v>Correct</v>
      </c>
      <c r="I5">
        <f t="shared" si="2"/>
        <v>0</v>
      </c>
      <c r="J5">
        <v>4</v>
      </c>
      <c r="K5" t="str">
        <f t="shared" si="3"/>
        <v/>
      </c>
    </row>
    <row r="6" spans="1:13" x14ac:dyDescent="0.3">
      <c r="A6">
        <v>5</v>
      </c>
      <c r="B6" t="s">
        <v>97</v>
      </c>
      <c r="C6" t="s">
        <v>26</v>
      </c>
      <c r="D6" t="s">
        <v>98</v>
      </c>
      <c r="E6" t="s">
        <v>26</v>
      </c>
      <c r="F6">
        <f t="shared" si="0"/>
        <v>4</v>
      </c>
      <c r="G6">
        <v>113</v>
      </c>
      <c r="H6" t="str">
        <f t="shared" si="1"/>
        <v>Correct</v>
      </c>
      <c r="I6">
        <f t="shared" si="2"/>
        <v>0</v>
      </c>
      <c r="J6">
        <v>5</v>
      </c>
      <c r="K6" t="str">
        <f t="shared" si="3"/>
        <v/>
      </c>
      <c r="L6">
        <v>5</v>
      </c>
      <c r="M6" t="s">
        <v>99</v>
      </c>
    </row>
    <row r="7" spans="1:13" x14ac:dyDescent="0.3">
      <c r="A7">
        <v>6</v>
      </c>
      <c r="B7" t="s">
        <v>100</v>
      </c>
      <c r="C7" t="s">
        <v>23</v>
      </c>
      <c r="D7" t="s">
        <v>101</v>
      </c>
      <c r="E7" t="s">
        <v>23</v>
      </c>
      <c r="F7">
        <f t="shared" si="0"/>
        <v>4</v>
      </c>
      <c r="G7">
        <v>687</v>
      </c>
      <c r="H7" t="str">
        <f t="shared" si="1"/>
        <v>Correct</v>
      </c>
      <c r="I7">
        <f t="shared" si="2"/>
        <v>0</v>
      </c>
      <c r="J7">
        <v>6</v>
      </c>
      <c r="K7" t="str">
        <f t="shared" si="3"/>
        <v/>
      </c>
      <c r="M7" t="s">
        <v>102</v>
      </c>
    </row>
    <row r="8" spans="1:13" x14ac:dyDescent="0.3">
      <c r="A8">
        <v>7</v>
      </c>
      <c r="B8" t="s">
        <v>103</v>
      </c>
      <c r="C8" t="s">
        <v>23</v>
      </c>
      <c r="D8" t="s">
        <v>104</v>
      </c>
      <c r="E8" t="s">
        <v>29</v>
      </c>
      <c r="F8">
        <f t="shared" si="0"/>
        <v>-1</v>
      </c>
      <c r="G8">
        <v>1271</v>
      </c>
      <c r="H8" t="str">
        <f t="shared" si="1"/>
        <v>Incorrect</v>
      </c>
      <c r="I8">
        <f t="shared" si="2"/>
        <v>1</v>
      </c>
      <c r="J8">
        <v>7</v>
      </c>
      <c r="K8">
        <f t="shared" si="3"/>
        <v>7</v>
      </c>
      <c r="L8">
        <v>7</v>
      </c>
      <c r="M8" t="s">
        <v>105</v>
      </c>
    </row>
    <row r="9" spans="1:13" x14ac:dyDescent="0.3">
      <c r="A9">
        <v>8</v>
      </c>
      <c r="B9" t="s">
        <v>106</v>
      </c>
      <c r="C9" t="s">
        <v>29</v>
      </c>
      <c r="D9" t="s">
        <v>107</v>
      </c>
      <c r="E9" t="s">
        <v>29</v>
      </c>
      <c r="F9">
        <f t="shared" si="0"/>
        <v>4</v>
      </c>
      <c r="G9">
        <v>95</v>
      </c>
      <c r="H9" t="str">
        <f t="shared" si="1"/>
        <v>Correct</v>
      </c>
      <c r="I9">
        <f t="shared" si="2"/>
        <v>0</v>
      </c>
      <c r="J9">
        <v>8</v>
      </c>
      <c r="K9" t="str">
        <f t="shared" si="3"/>
        <v/>
      </c>
    </row>
    <row r="10" spans="1:13" x14ac:dyDescent="0.3">
      <c r="A10">
        <v>9</v>
      </c>
      <c r="B10" t="s">
        <v>108</v>
      </c>
      <c r="C10" t="s">
        <v>29</v>
      </c>
      <c r="D10" t="s">
        <v>109</v>
      </c>
      <c r="E10" t="s">
        <v>29</v>
      </c>
      <c r="F10">
        <f t="shared" si="0"/>
        <v>4</v>
      </c>
      <c r="G10">
        <v>24</v>
      </c>
      <c r="H10" t="str">
        <f t="shared" si="1"/>
        <v>Correct</v>
      </c>
      <c r="I10">
        <f t="shared" si="2"/>
        <v>0</v>
      </c>
      <c r="J10">
        <v>9</v>
      </c>
      <c r="K10" t="str">
        <f t="shared" si="3"/>
        <v/>
      </c>
    </row>
    <row r="11" spans="1:13" x14ac:dyDescent="0.3">
      <c r="A11">
        <v>10</v>
      </c>
      <c r="B11" t="s">
        <v>110</v>
      </c>
      <c r="C11" t="s">
        <v>29</v>
      </c>
      <c r="D11" t="s">
        <v>111</v>
      </c>
      <c r="E11" t="s">
        <v>29</v>
      </c>
      <c r="F11">
        <f t="shared" si="0"/>
        <v>4</v>
      </c>
      <c r="G11">
        <v>186</v>
      </c>
      <c r="H11" t="str">
        <f t="shared" si="1"/>
        <v>Correct</v>
      </c>
      <c r="I11">
        <f t="shared" si="2"/>
        <v>0</v>
      </c>
      <c r="J11">
        <v>10</v>
      </c>
      <c r="K11" t="str">
        <f t="shared" si="3"/>
        <v/>
      </c>
    </row>
    <row r="12" spans="1:13" x14ac:dyDescent="0.3">
      <c r="A12">
        <v>11</v>
      </c>
      <c r="B12" t="s">
        <v>112</v>
      </c>
      <c r="C12" t="s">
        <v>23</v>
      </c>
      <c r="D12" t="s">
        <v>113</v>
      </c>
      <c r="E12" t="s">
        <v>29</v>
      </c>
      <c r="F12">
        <f t="shared" si="0"/>
        <v>-1</v>
      </c>
      <c r="G12">
        <v>98</v>
      </c>
      <c r="H12" t="str">
        <f t="shared" si="1"/>
        <v>Incorrect</v>
      </c>
      <c r="I12">
        <f t="shared" si="2"/>
        <v>1</v>
      </c>
      <c r="J12">
        <v>11</v>
      </c>
      <c r="K12">
        <f t="shared" si="3"/>
        <v>11</v>
      </c>
      <c r="M12" t="s">
        <v>114</v>
      </c>
    </row>
    <row r="13" spans="1:13" x14ac:dyDescent="0.3">
      <c r="A13">
        <v>12</v>
      </c>
      <c r="B13" t="s">
        <v>115</v>
      </c>
      <c r="C13" t="s">
        <v>26</v>
      </c>
      <c r="D13" t="s">
        <v>116</v>
      </c>
      <c r="E13" t="s">
        <v>32</v>
      </c>
      <c r="F13">
        <f t="shared" si="0"/>
        <v>-1</v>
      </c>
      <c r="G13">
        <v>93</v>
      </c>
      <c r="H13" t="str">
        <f t="shared" si="1"/>
        <v>Incorrect</v>
      </c>
      <c r="I13">
        <f t="shared" si="2"/>
        <v>1</v>
      </c>
      <c r="J13">
        <v>12</v>
      </c>
      <c r="K13">
        <f t="shared" si="3"/>
        <v>12</v>
      </c>
      <c r="M13" t="s">
        <v>117</v>
      </c>
    </row>
    <row r="14" spans="1:13" x14ac:dyDescent="0.3">
      <c r="A14">
        <v>13</v>
      </c>
      <c r="B14" t="s">
        <v>118</v>
      </c>
      <c r="C14" t="s">
        <v>23</v>
      </c>
      <c r="D14">
        <v>72</v>
      </c>
      <c r="E14" t="s">
        <v>23</v>
      </c>
      <c r="F14">
        <f t="shared" si="0"/>
        <v>4</v>
      </c>
      <c r="G14">
        <v>58</v>
      </c>
      <c r="H14" t="str">
        <f t="shared" si="1"/>
        <v>Correct</v>
      </c>
      <c r="I14">
        <f t="shared" si="2"/>
        <v>0</v>
      </c>
      <c r="J14">
        <v>13</v>
      </c>
      <c r="K14" t="str">
        <f t="shared" si="3"/>
        <v/>
      </c>
    </row>
    <row r="15" spans="1:13" x14ac:dyDescent="0.3">
      <c r="A15">
        <v>14</v>
      </c>
      <c r="B15" t="s">
        <v>119</v>
      </c>
      <c r="C15" t="s">
        <v>23</v>
      </c>
      <c r="D15" t="s">
        <v>120</v>
      </c>
      <c r="E15" t="s">
        <v>23</v>
      </c>
      <c r="F15">
        <f t="shared" si="0"/>
        <v>4</v>
      </c>
      <c r="G15">
        <v>186</v>
      </c>
      <c r="H15" t="str">
        <f t="shared" si="1"/>
        <v>Correct</v>
      </c>
      <c r="I15">
        <f t="shared" si="2"/>
        <v>0</v>
      </c>
      <c r="J15">
        <v>14</v>
      </c>
      <c r="K15" t="str">
        <f t="shared" si="3"/>
        <v/>
      </c>
    </row>
    <row r="16" spans="1:13" x14ac:dyDescent="0.3">
      <c r="A16">
        <v>15</v>
      </c>
      <c r="B16" t="s">
        <v>121</v>
      </c>
      <c r="C16" t="s">
        <v>23</v>
      </c>
      <c r="D16" t="s">
        <v>122</v>
      </c>
      <c r="E16" t="s">
        <v>26</v>
      </c>
      <c r="F16">
        <f t="shared" si="0"/>
        <v>-1</v>
      </c>
      <c r="G16">
        <v>85</v>
      </c>
      <c r="H16" t="str">
        <f t="shared" si="1"/>
        <v>Incorrect</v>
      </c>
      <c r="I16">
        <f t="shared" si="2"/>
        <v>1</v>
      </c>
      <c r="J16">
        <v>15</v>
      </c>
      <c r="K16">
        <f t="shared" si="3"/>
        <v>15</v>
      </c>
      <c r="M16" t="s">
        <v>123</v>
      </c>
    </row>
    <row r="17" spans="1:13" x14ac:dyDescent="0.3">
      <c r="A17">
        <v>16</v>
      </c>
      <c r="B17" t="s">
        <v>124</v>
      </c>
      <c r="C17" t="s">
        <v>23</v>
      </c>
      <c r="D17">
        <v>500</v>
      </c>
      <c r="E17" t="s">
        <v>23</v>
      </c>
      <c r="F17">
        <f t="shared" si="0"/>
        <v>4</v>
      </c>
      <c r="G17">
        <v>182</v>
      </c>
      <c r="H17" t="str">
        <f t="shared" si="1"/>
        <v>Correct</v>
      </c>
      <c r="I17">
        <f t="shared" si="2"/>
        <v>0</v>
      </c>
      <c r="J17">
        <v>16</v>
      </c>
      <c r="K17" t="str">
        <f t="shared" si="3"/>
        <v/>
      </c>
      <c r="L17">
        <v>16</v>
      </c>
    </row>
    <row r="18" spans="1:13" x14ac:dyDescent="0.3">
      <c r="A18">
        <v>17</v>
      </c>
      <c r="B18" t="s">
        <v>125</v>
      </c>
      <c r="C18" t="s">
        <v>23</v>
      </c>
      <c r="D18" t="s">
        <v>126</v>
      </c>
      <c r="E18" t="s">
        <v>23</v>
      </c>
      <c r="F18">
        <f t="shared" si="0"/>
        <v>4</v>
      </c>
      <c r="G18">
        <v>111</v>
      </c>
      <c r="H18" t="str">
        <f t="shared" si="1"/>
        <v>Correct</v>
      </c>
      <c r="I18">
        <f t="shared" si="2"/>
        <v>0</v>
      </c>
      <c r="J18">
        <v>17</v>
      </c>
      <c r="K18" t="str">
        <f t="shared" si="3"/>
        <v/>
      </c>
      <c r="L18">
        <v>17</v>
      </c>
      <c r="M18" t="s">
        <v>127</v>
      </c>
    </row>
    <row r="19" spans="1:13" x14ac:dyDescent="0.3">
      <c r="A19">
        <v>18</v>
      </c>
      <c r="B19" t="s">
        <v>128</v>
      </c>
      <c r="C19" t="s">
        <v>23</v>
      </c>
      <c r="D19" t="s">
        <v>129</v>
      </c>
      <c r="E19" t="s">
        <v>23</v>
      </c>
      <c r="F19">
        <f t="shared" si="0"/>
        <v>4</v>
      </c>
      <c r="G19">
        <v>57</v>
      </c>
      <c r="H19" t="str">
        <f t="shared" si="1"/>
        <v>Correct</v>
      </c>
      <c r="I19">
        <f t="shared" si="2"/>
        <v>0</v>
      </c>
      <c r="J19">
        <v>18</v>
      </c>
      <c r="K19" t="str">
        <f t="shared" si="3"/>
        <v/>
      </c>
    </row>
    <row r="20" spans="1:13" x14ac:dyDescent="0.3">
      <c r="A20">
        <v>19</v>
      </c>
      <c r="B20" t="s">
        <v>130</v>
      </c>
      <c r="C20" t="s">
        <v>26</v>
      </c>
      <c r="D20" t="s">
        <v>131</v>
      </c>
      <c r="E20" t="s">
        <v>26</v>
      </c>
      <c r="F20">
        <f t="shared" si="0"/>
        <v>4</v>
      </c>
      <c r="G20">
        <v>164</v>
      </c>
      <c r="H20" t="str">
        <f t="shared" si="1"/>
        <v>Correct</v>
      </c>
      <c r="I20">
        <f t="shared" si="2"/>
        <v>0</v>
      </c>
      <c r="J20">
        <v>19</v>
      </c>
      <c r="K20" t="str">
        <f t="shared" si="3"/>
        <v/>
      </c>
    </row>
    <row r="21" spans="1:13" x14ac:dyDescent="0.3">
      <c r="A21">
        <v>20</v>
      </c>
      <c r="B21" t="s">
        <v>132</v>
      </c>
      <c r="C21" t="s">
        <v>23</v>
      </c>
      <c r="D21" t="s">
        <v>133</v>
      </c>
      <c r="E21" t="s">
        <v>23</v>
      </c>
      <c r="F21">
        <f t="shared" si="0"/>
        <v>4</v>
      </c>
      <c r="G21">
        <v>68</v>
      </c>
      <c r="H21" t="str">
        <f t="shared" si="1"/>
        <v>Correct</v>
      </c>
      <c r="I21">
        <f t="shared" si="2"/>
        <v>0</v>
      </c>
      <c r="J21">
        <v>20</v>
      </c>
      <c r="K21" t="str">
        <f t="shared" si="3"/>
        <v/>
      </c>
    </row>
    <row r="22" spans="1:13" x14ac:dyDescent="0.3">
      <c r="A22">
        <v>21</v>
      </c>
      <c r="B22" t="s">
        <v>134</v>
      </c>
      <c r="C22" t="s">
        <v>23</v>
      </c>
      <c r="D22" t="s">
        <v>135</v>
      </c>
      <c r="E22" t="s">
        <v>23</v>
      </c>
      <c r="F22">
        <f t="shared" si="0"/>
        <v>4</v>
      </c>
      <c r="G22">
        <v>225</v>
      </c>
      <c r="H22" t="str">
        <f t="shared" si="1"/>
        <v>Correct</v>
      </c>
      <c r="I22">
        <f t="shared" si="2"/>
        <v>0</v>
      </c>
      <c r="J22">
        <v>21</v>
      </c>
      <c r="K22" t="str">
        <f t="shared" si="3"/>
        <v/>
      </c>
      <c r="L22">
        <v>21</v>
      </c>
      <c r="M22" t="s">
        <v>136</v>
      </c>
    </row>
    <row r="23" spans="1:13" x14ac:dyDescent="0.3">
      <c r="A23">
        <v>22</v>
      </c>
      <c r="B23" t="s">
        <v>137</v>
      </c>
      <c r="C23" t="s">
        <v>32</v>
      </c>
      <c r="D23">
        <v>18</v>
      </c>
      <c r="E23" t="s">
        <v>32</v>
      </c>
      <c r="F23">
        <f t="shared" si="0"/>
        <v>4</v>
      </c>
      <c r="G23">
        <v>440</v>
      </c>
      <c r="H23" t="str">
        <f t="shared" si="1"/>
        <v>Correct</v>
      </c>
      <c r="I23">
        <f t="shared" si="2"/>
        <v>0</v>
      </c>
      <c r="J23">
        <v>22</v>
      </c>
      <c r="K23" t="str">
        <f t="shared" si="3"/>
        <v/>
      </c>
    </row>
    <row r="24" spans="1:13" x14ac:dyDescent="0.3">
      <c r="A24">
        <v>23</v>
      </c>
      <c r="B24" t="s">
        <v>138</v>
      </c>
      <c r="C24" t="s">
        <v>26</v>
      </c>
      <c r="D24">
        <v>1</v>
      </c>
      <c r="E24" t="s">
        <v>26</v>
      </c>
      <c r="F24">
        <f t="shared" si="0"/>
        <v>4</v>
      </c>
      <c r="G24">
        <v>30</v>
      </c>
      <c r="H24" t="str">
        <f t="shared" si="1"/>
        <v>Correct</v>
      </c>
      <c r="I24">
        <f t="shared" si="2"/>
        <v>0</v>
      </c>
      <c r="J24">
        <v>23</v>
      </c>
      <c r="K24" t="str">
        <f t="shared" si="3"/>
        <v/>
      </c>
    </row>
    <row r="25" spans="1:13" x14ac:dyDescent="0.3">
      <c r="A25">
        <v>24</v>
      </c>
      <c r="B25" t="s">
        <v>139</v>
      </c>
      <c r="C25" t="s">
        <v>29</v>
      </c>
      <c r="D25">
        <v>1</v>
      </c>
      <c r="E25" t="s">
        <v>29</v>
      </c>
      <c r="F25">
        <f t="shared" si="0"/>
        <v>4</v>
      </c>
      <c r="G25">
        <v>20</v>
      </c>
      <c r="H25" t="str">
        <f t="shared" si="1"/>
        <v>Correct</v>
      </c>
      <c r="I25">
        <f t="shared" si="2"/>
        <v>0</v>
      </c>
      <c r="J25">
        <v>24</v>
      </c>
      <c r="K25" t="str">
        <f t="shared" si="3"/>
        <v/>
      </c>
      <c r="L25">
        <v>24</v>
      </c>
      <c r="M25" t="s">
        <v>140</v>
      </c>
    </row>
    <row r="26" spans="1:13" x14ac:dyDescent="0.3">
      <c r="A26">
        <v>25</v>
      </c>
      <c r="B26" t="s">
        <v>141</v>
      </c>
      <c r="C26" t="s">
        <v>26</v>
      </c>
      <c r="D26" t="s">
        <v>142</v>
      </c>
      <c r="E26" t="s">
        <v>26</v>
      </c>
      <c r="F26">
        <f t="shared" si="0"/>
        <v>4</v>
      </c>
      <c r="G26">
        <v>69</v>
      </c>
      <c r="H26" t="str">
        <f t="shared" si="1"/>
        <v>Correct</v>
      </c>
      <c r="I26">
        <f t="shared" si="2"/>
        <v>0</v>
      </c>
      <c r="J26">
        <v>25</v>
      </c>
      <c r="K26" t="str">
        <f t="shared" si="3"/>
        <v/>
      </c>
    </row>
    <row r="27" spans="1:13" x14ac:dyDescent="0.3">
      <c r="A27">
        <v>26</v>
      </c>
      <c r="B27" t="s">
        <v>143</v>
      </c>
      <c r="C27" t="s">
        <v>23</v>
      </c>
      <c r="D27" t="s">
        <v>144</v>
      </c>
      <c r="E27" t="s">
        <v>23</v>
      </c>
      <c r="F27">
        <f t="shared" si="0"/>
        <v>4</v>
      </c>
      <c r="G27">
        <v>70</v>
      </c>
      <c r="H27" t="str">
        <f t="shared" si="1"/>
        <v>Correct</v>
      </c>
      <c r="I27">
        <f t="shared" si="2"/>
        <v>0</v>
      </c>
      <c r="J27">
        <v>26</v>
      </c>
      <c r="K27" t="str">
        <f t="shared" si="3"/>
        <v/>
      </c>
    </row>
    <row r="28" spans="1:13" x14ac:dyDescent="0.3">
      <c r="A28">
        <v>27</v>
      </c>
      <c r="B28" t="s">
        <v>145</v>
      </c>
      <c r="C28" t="s">
        <v>32</v>
      </c>
      <c r="D28" s="3">
        <v>46237</v>
      </c>
      <c r="E28" t="s">
        <v>32</v>
      </c>
      <c r="F28">
        <f t="shared" si="0"/>
        <v>4</v>
      </c>
      <c r="G28">
        <v>149</v>
      </c>
      <c r="H28" t="str">
        <f t="shared" si="1"/>
        <v>Correct</v>
      </c>
      <c r="I28">
        <f t="shared" si="2"/>
        <v>0</v>
      </c>
      <c r="J28">
        <v>27</v>
      </c>
      <c r="K28" t="str">
        <f t="shared" si="3"/>
        <v/>
      </c>
    </row>
    <row r="29" spans="1:13" x14ac:dyDescent="0.3">
      <c r="A29">
        <v>28</v>
      </c>
      <c r="B29" t="s">
        <v>146</v>
      </c>
      <c r="C29" t="s">
        <v>29</v>
      </c>
      <c r="D29" t="s">
        <v>111</v>
      </c>
      <c r="E29" t="s">
        <v>29</v>
      </c>
      <c r="F29">
        <f t="shared" si="0"/>
        <v>4</v>
      </c>
      <c r="G29">
        <v>257</v>
      </c>
      <c r="H29" t="str">
        <f t="shared" si="1"/>
        <v>Correct</v>
      </c>
      <c r="I29">
        <f t="shared" si="2"/>
        <v>0</v>
      </c>
      <c r="J29">
        <v>28</v>
      </c>
      <c r="K29" t="str">
        <f t="shared" si="3"/>
        <v/>
      </c>
    </row>
    <row r="30" spans="1:13" x14ac:dyDescent="0.3">
      <c r="A30">
        <v>29</v>
      </c>
      <c r="B30" t="s">
        <v>147</v>
      </c>
      <c r="C30" t="s">
        <v>23</v>
      </c>
      <c r="D30" t="s">
        <v>148</v>
      </c>
      <c r="E30" t="s">
        <v>23</v>
      </c>
      <c r="F30">
        <f t="shared" si="0"/>
        <v>4</v>
      </c>
      <c r="G30">
        <v>1608</v>
      </c>
      <c r="H30" t="str">
        <f t="shared" si="1"/>
        <v>Correct</v>
      </c>
      <c r="I30">
        <f t="shared" si="2"/>
        <v>0</v>
      </c>
      <c r="J30">
        <v>29</v>
      </c>
      <c r="K30" t="str">
        <f t="shared" si="3"/>
        <v/>
      </c>
      <c r="L30">
        <v>29</v>
      </c>
      <c r="M30" t="s">
        <v>149</v>
      </c>
    </row>
    <row r="31" spans="1:13" x14ac:dyDescent="0.3">
      <c r="A31">
        <v>30</v>
      </c>
      <c r="B31" t="s">
        <v>150</v>
      </c>
      <c r="C31" t="s">
        <v>26</v>
      </c>
      <c r="D31" t="s">
        <v>151</v>
      </c>
      <c r="E31" t="s">
        <v>26</v>
      </c>
      <c r="F31">
        <f t="shared" si="0"/>
        <v>4</v>
      </c>
      <c r="G31">
        <v>359</v>
      </c>
      <c r="H31" t="str">
        <f t="shared" si="1"/>
        <v>Correct</v>
      </c>
      <c r="I31">
        <f t="shared" si="2"/>
        <v>0</v>
      </c>
      <c r="J31">
        <v>30</v>
      </c>
      <c r="K31" t="str">
        <f t="shared" si="3"/>
        <v/>
      </c>
    </row>
    <row r="32" spans="1:13" x14ac:dyDescent="0.3">
      <c r="F32">
        <f>SUM(F2:F31)</f>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
  <sheetViews>
    <sheetView workbookViewId="0"/>
  </sheetViews>
  <sheetFormatPr defaultRowHeight="14.4" x14ac:dyDescent="0.3"/>
  <cols>
    <col min="1" max="1" width="15" customWidth="1"/>
    <col min="2" max="2" width="50" customWidth="1"/>
    <col min="3" max="3" width="23" customWidth="1"/>
    <col min="4" max="4" width="50" customWidth="1"/>
    <col min="5" max="5" width="18" customWidth="1"/>
    <col min="6" max="6" width="20" customWidth="1"/>
    <col min="7" max="8" width="50" customWidth="1"/>
    <col min="9" max="9" width="13" customWidth="1"/>
    <col min="10" max="10" width="36" customWidth="1"/>
    <col min="11" max="11" width="26" customWidth="1"/>
    <col min="12" max="12" width="50" customWidth="1"/>
  </cols>
  <sheetData>
    <row r="1" spans="1:12" x14ac:dyDescent="0.3">
      <c r="A1" t="s">
        <v>9</v>
      </c>
      <c r="B1" t="s">
        <v>10</v>
      </c>
      <c r="C1" t="s">
        <v>11</v>
      </c>
      <c r="D1" t="s">
        <v>12</v>
      </c>
      <c r="E1" t="s">
        <v>152</v>
      </c>
      <c r="F1" t="s">
        <v>14</v>
      </c>
      <c r="G1" t="s">
        <v>16</v>
      </c>
      <c r="H1" t="s">
        <v>17</v>
      </c>
      <c r="I1" t="s">
        <v>18</v>
      </c>
      <c r="J1" t="s">
        <v>19</v>
      </c>
      <c r="K1" t="s">
        <v>153</v>
      </c>
      <c r="L1" t="s">
        <v>21</v>
      </c>
    </row>
    <row r="2" spans="1:12" x14ac:dyDescent="0.3">
      <c r="A2">
        <v>1</v>
      </c>
      <c r="B2" t="s">
        <v>154</v>
      </c>
      <c r="C2" t="s">
        <v>32</v>
      </c>
      <c r="D2" t="s">
        <v>155</v>
      </c>
      <c r="E2" t="s">
        <v>32</v>
      </c>
      <c r="F2">
        <f t="shared" ref="F2:F31" si="0">IF(C2&lt;&gt;E2,-1,4)</f>
        <v>4</v>
      </c>
      <c r="G2" t="str">
        <f t="shared" ref="G2:G31" si="1">IF(F2=4,"Correct",IF(F2=0,"Unattempted","Incorrect"))</f>
        <v>Correct</v>
      </c>
      <c r="H2">
        <f t="shared" ref="H2:H31" si="2">COUNTIF(G2,"=Unattempted") + COUNTIF(G2,"=Incorrect")</f>
        <v>0</v>
      </c>
      <c r="I2">
        <v>1</v>
      </c>
      <c r="K2" t="str">
        <f>IF(ISBLANK(M2),"",J2)</f>
        <v/>
      </c>
    </row>
    <row r="3" spans="1:12" x14ac:dyDescent="0.3">
      <c r="A3">
        <v>2</v>
      </c>
      <c r="B3" t="s">
        <v>156</v>
      </c>
      <c r="C3" t="s">
        <v>29</v>
      </c>
      <c r="D3" t="s">
        <v>157</v>
      </c>
      <c r="E3" t="s">
        <v>29</v>
      </c>
      <c r="F3">
        <f t="shared" si="0"/>
        <v>4</v>
      </c>
      <c r="G3" t="str">
        <f t="shared" si="1"/>
        <v>Correct</v>
      </c>
      <c r="H3">
        <f t="shared" si="2"/>
        <v>0</v>
      </c>
      <c r="I3">
        <v>2</v>
      </c>
      <c r="K3">
        <f t="shared" ref="K3:K31" si="3">IF(ISBLANK(L3),"",I3)</f>
        <v>2</v>
      </c>
      <c r="L3" t="s">
        <v>158</v>
      </c>
    </row>
    <row r="4" spans="1:12" x14ac:dyDescent="0.3">
      <c r="A4">
        <v>3</v>
      </c>
      <c r="B4" t="s">
        <v>159</v>
      </c>
      <c r="C4" t="s">
        <v>26</v>
      </c>
      <c r="D4" s="4">
        <v>29.333333333333329</v>
      </c>
      <c r="E4" t="s">
        <v>26</v>
      </c>
      <c r="F4">
        <f t="shared" si="0"/>
        <v>4</v>
      </c>
      <c r="G4" t="str">
        <f t="shared" si="1"/>
        <v>Correct</v>
      </c>
      <c r="H4">
        <f t="shared" si="2"/>
        <v>0</v>
      </c>
      <c r="I4">
        <v>3</v>
      </c>
      <c r="K4" t="str">
        <f t="shared" si="3"/>
        <v/>
      </c>
    </row>
    <row r="5" spans="1:12" x14ac:dyDescent="0.3">
      <c r="A5">
        <v>4</v>
      </c>
      <c r="B5" t="s">
        <v>160</v>
      </c>
      <c r="C5" t="s">
        <v>29</v>
      </c>
      <c r="D5" s="3">
        <v>46086</v>
      </c>
      <c r="E5" t="s">
        <v>29</v>
      </c>
      <c r="F5">
        <f t="shared" si="0"/>
        <v>4</v>
      </c>
      <c r="G5" t="str">
        <f t="shared" si="1"/>
        <v>Correct</v>
      </c>
      <c r="H5">
        <f t="shared" si="2"/>
        <v>0</v>
      </c>
      <c r="I5">
        <v>4</v>
      </c>
      <c r="K5" t="str">
        <f t="shared" si="3"/>
        <v/>
      </c>
    </row>
    <row r="6" spans="1:12" x14ac:dyDescent="0.3">
      <c r="A6">
        <v>5</v>
      </c>
      <c r="B6" t="s">
        <v>161</v>
      </c>
      <c r="C6" t="s">
        <v>32</v>
      </c>
      <c r="D6" t="s">
        <v>162</v>
      </c>
      <c r="E6" t="s">
        <v>32</v>
      </c>
      <c r="F6">
        <f t="shared" si="0"/>
        <v>4</v>
      </c>
      <c r="G6" t="str">
        <f t="shared" si="1"/>
        <v>Correct</v>
      </c>
      <c r="H6">
        <f t="shared" si="2"/>
        <v>0</v>
      </c>
      <c r="I6">
        <v>5</v>
      </c>
      <c r="K6" t="str">
        <f t="shared" si="3"/>
        <v/>
      </c>
    </row>
    <row r="7" spans="1:12" x14ac:dyDescent="0.3">
      <c r="A7">
        <v>6</v>
      </c>
      <c r="B7" t="s">
        <v>163</v>
      </c>
      <c r="C7" t="s">
        <v>32</v>
      </c>
      <c r="D7" t="s">
        <v>164</v>
      </c>
      <c r="E7" t="s">
        <v>32</v>
      </c>
      <c r="F7">
        <f t="shared" si="0"/>
        <v>4</v>
      </c>
      <c r="G7" t="str">
        <f t="shared" si="1"/>
        <v>Correct</v>
      </c>
      <c r="H7">
        <f t="shared" si="2"/>
        <v>0</v>
      </c>
      <c r="I7">
        <v>6</v>
      </c>
      <c r="K7">
        <f t="shared" si="3"/>
        <v>6</v>
      </c>
      <c r="L7" t="s">
        <v>165</v>
      </c>
    </row>
    <row r="8" spans="1:12" x14ac:dyDescent="0.3">
      <c r="A8">
        <v>7</v>
      </c>
      <c r="B8" t="s">
        <v>166</v>
      </c>
      <c r="C8" t="s">
        <v>23</v>
      </c>
      <c r="D8" t="s">
        <v>167</v>
      </c>
      <c r="E8" t="s">
        <v>23</v>
      </c>
      <c r="F8">
        <f t="shared" si="0"/>
        <v>4</v>
      </c>
      <c r="G8" t="str">
        <f t="shared" si="1"/>
        <v>Correct</v>
      </c>
      <c r="H8">
        <f t="shared" si="2"/>
        <v>0</v>
      </c>
      <c r="I8">
        <v>7</v>
      </c>
      <c r="K8">
        <f t="shared" si="3"/>
        <v>7</v>
      </c>
      <c r="L8" t="s">
        <v>168</v>
      </c>
    </row>
    <row r="9" spans="1:12" x14ac:dyDescent="0.3">
      <c r="A9">
        <v>8</v>
      </c>
      <c r="B9" t="s">
        <v>169</v>
      </c>
      <c r="C9" t="s">
        <v>29</v>
      </c>
      <c r="D9" t="s">
        <v>87</v>
      </c>
      <c r="E9" t="s">
        <v>29</v>
      </c>
      <c r="F9">
        <f t="shared" si="0"/>
        <v>4</v>
      </c>
      <c r="G9" t="str">
        <f t="shared" si="1"/>
        <v>Correct</v>
      </c>
      <c r="H9">
        <f t="shared" si="2"/>
        <v>0</v>
      </c>
      <c r="I9">
        <v>8</v>
      </c>
      <c r="K9" t="str">
        <f t="shared" si="3"/>
        <v/>
      </c>
    </row>
    <row r="10" spans="1:12" x14ac:dyDescent="0.3">
      <c r="A10">
        <v>9</v>
      </c>
      <c r="B10" t="s">
        <v>170</v>
      </c>
      <c r="C10" t="s">
        <v>32</v>
      </c>
      <c r="D10" t="s">
        <v>171</v>
      </c>
      <c r="E10" t="s">
        <v>32</v>
      </c>
      <c r="F10">
        <f t="shared" si="0"/>
        <v>4</v>
      </c>
      <c r="G10" t="str">
        <f t="shared" si="1"/>
        <v>Correct</v>
      </c>
      <c r="H10">
        <f t="shared" si="2"/>
        <v>0</v>
      </c>
      <c r="I10">
        <v>9</v>
      </c>
      <c r="K10">
        <f t="shared" si="3"/>
        <v>9</v>
      </c>
      <c r="L10" t="s">
        <v>172</v>
      </c>
    </row>
    <row r="11" spans="1:12" x14ac:dyDescent="0.3">
      <c r="A11">
        <v>10</v>
      </c>
      <c r="B11" t="s">
        <v>173</v>
      </c>
      <c r="C11" t="s">
        <v>23</v>
      </c>
      <c r="D11" t="s">
        <v>174</v>
      </c>
      <c r="E11" t="s">
        <v>23</v>
      </c>
      <c r="F11">
        <f t="shared" si="0"/>
        <v>4</v>
      </c>
      <c r="G11" t="str">
        <f t="shared" si="1"/>
        <v>Correct</v>
      </c>
      <c r="H11">
        <f t="shared" si="2"/>
        <v>0</v>
      </c>
      <c r="I11">
        <v>10</v>
      </c>
      <c r="K11" t="str">
        <f t="shared" si="3"/>
        <v/>
      </c>
    </row>
    <row r="12" spans="1:12" x14ac:dyDescent="0.3">
      <c r="A12">
        <v>11</v>
      </c>
      <c r="B12" t="s">
        <v>175</v>
      </c>
      <c r="C12" t="s">
        <v>23</v>
      </c>
      <c r="D12" t="s">
        <v>176</v>
      </c>
      <c r="E12" t="s">
        <v>23</v>
      </c>
      <c r="F12">
        <f t="shared" si="0"/>
        <v>4</v>
      </c>
      <c r="G12" t="str">
        <f t="shared" si="1"/>
        <v>Correct</v>
      </c>
      <c r="H12">
        <f t="shared" si="2"/>
        <v>0</v>
      </c>
      <c r="I12">
        <v>11</v>
      </c>
      <c r="K12" t="str">
        <f t="shared" si="3"/>
        <v/>
      </c>
    </row>
    <row r="13" spans="1:12" x14ac:dyDescent="0.3">
      <c r="A13">
        <v>12</v>
      </c>
      <c r="B13" t="s">
        <v>177</v>
      </c>
      <c r="C13" t="s">
        <v>32</v>
      </c>
      <c r="D13">
        <v>2</v>
      </c>
      <c r="E13" t="s">
        <v>32</v>
      </c>
      <c r="F13">
        <f t="shared" si="0"/>
        <v>4</v>
      </c>
      <c r="G13" t="str">
        <f t="shared" si="1"/>
        <v>Correct</v>
      </c>
      <c r="H13">
        <f t="shared" si="2"/>
        <v>0</v>
      </c>
      <c r="I13">
        <v>12</v>
      </c>
      <c r="J13" t="str">
        <f t="shared" ref="J13:J31" si="4">IF(H13,I13,"")</f>
        <v/>
      </c>
      <c r="K13" t="str">
        <f t="shared" si="3"/>
        <v/>
      </c>
    </row>
    <row r="14" spans="1:12" x14ac:dyDescent="0.3">
      <c r="A14">
        <v>13</v>
      </c>
      <c r="B14" t="s">
        <v>177</v>
      </c>
      <c r="C14" t="s">
        <v>32</v>
      </c>
      <c r="D14">
        <v>-1.6</v>
      </c>
      <c r="E14" t="s">
        <v>32</v>
      </c>
      <c r="F14">
        <f t="shared" si="0"/>
        <v>4</v>
      </c>
      <c r="G14" t="str">
        <f t="shared" si="1"/>
        <v>Correct</v>
      </c>
      <c r="H14">
        <f t="shared" si="2"/>
        <v>0</v>
      </c>
      <c r="I14">
        <v>13</v>
      </c>
      <c r="J14" t="str">
        <f t="shared" si="4"/>
        <v/>
      </c>
      <c r="K14" t="str">
        <f t="shared" si="3"/>
        <v/>
      </c>
    </row>
    <row r="15" spans="1:12" x14ac:dyDescent="0.3">
      <c r="A15">
        <v>14</v>
      </c>
      <c r="B15" t="s">
        <v>178</v>
      </c>
      <c r="C15" t="s">
        <v>23</v>
      </c>
      <c r="D15" t="s">
        <v>179</v>
      </c>
      <c r="E15" t="s">
        <v>23</v>
      </c>
      <c r="F15">
        <f t="shared" si="0"/>
        <v>4</v>
      </c>
      <c r="G15" t="str">
        <f t="shared" si="1"/>
        <v>Correct</v>
      </c>
      <c r="H15">
        <f t="shared" si="2"/>
        <v>0</v>
      </c>
      <c r="I15">
        <v>14</v>
      </c>
      <c r="J15" t="str">
        <f t="shared" si="4"/>
        <v/>
      </c>
      <c r="K15" t="str">
        <f t="shared" si="3"/>
        <v/>
      </c>
    </row>
    <row r="16" spans="1:12" x14ac:dyDescent="0.3">
      <c r="A16">
        <v>15</v>
      </c>
      <c r="B16" t="s">
        <v>180</v>
      </c>
      <c r="C16" t="s">
        <v>26</v>
      </c>
      <c r="D16" t="s">
        <v>181</v>
      </c>
      <c r="E16" t="s">
        <v>26</v>
      </c>
      <c r="F16">
        <f t="shared" si="0"/>
        <v>4</v>
      </c>
      <c r="G16" t="str">
        <f t="shared" si="1"/>
        <v>Correct</v>
      </c>
      <c r="H16">
        <f t="shared" si="2"/>
        <v>0</v>
      </c>
      <c r="I16">
        <v>15</v>
      </c>
      <c r="J16" t="str">
        <f t="shared" si="4"/>
        <v/>
      </c>
      <c r="K16" t="str">
        <f t="shared" si="3"/>
        <v/>
      </c>
    </row>
    <row r="17" spans="1:12" x14ac:dyDescent="0.3">
      <c r="A17">
        <v>16</v>
      </c>
      <c r="B17" t="s">
        <v>182</v>
      </c>
      <c r="C17" t="s">
        <v>26</v>
      </c>
      <c r="D17" t="s">
        <v>183</v>
      </c>
      <c r="E17" t="s">
        <v>26</v>
      </c>
      <c r="F17">
        <f t="shared" si="0"/>
        <v>4</v>
      </c>
      <c r="G17" t="str">
        <f t="shared" si="1"/>
        <v>Correct</v>
      </c>
      <c r="H17">
        <f t="shared" si="2"/>
        <v>0</v>
      </c>
      <c r="I17">
        <v>16</v>
      </c>
      <c r="J17" t="str">
        <f t="shared" si="4"/>
        <v/>
      </c>
      <c r="K17" t="str">
        <f t="shared" si="3"/>
        <v/>
      </c>
    </row>
    <row r="18" spans="1:12" x14ac:dyDescent="0.3">
      <c r="A18">
        <v>17</v>
      </c>
      <c r="B18" t="s">
        <v>184</v>
      </c>
      <c r="C18" t="s">
        <v>26</v>
      </c>
      <c r="D18" t="s">
        <v>185</v>
      </c>
      <c r="E18" t="s">
        <v>26</v>
      </c>
      <c r="F18">
        <f t="shared" si="0"/>
        <v>4</v>
      </c>
      <c r="G18" t="str">
        <f t="shared" si="1"/>
        <v>Correct</v>
      </c>
      <c r="H18">
        <f t="shared" si="2"/>
        <v>0</v>
      </c>
      <c r="I18">
        <v>17</v>
      </c>
      <c r="J18" t="str">
        <f t="shared" si="4"/>
        <v/>
      </c>
      <c r="K18">
        <f t="shared" si="3"/>
        <v>17</v>
      </c>
      <c r="L18" t="s">
        <v>186</v>
      </c>
    </row>
    <row r="19" spans="1:12" x14ac:dyDescent="0.3">
      <c r="A19">
        <v>18</v>
      </c>
      <c r="B19" t="s">
        <v>187</v>
      </c>
      <c r="C19" t="s">
        <v>26</v>
      </c>
      <c r="D19" t="s">
        <v>188</v>
      </c>
      <c r="E19" t="s">
        <v>26</v>
      </c>
      <c r="F19">
        <f t="shared" si="0"/>
        <v>4</v>
      </c>
      <c r="G19" t="str">
        <f t="shared" si="1"/>
        <v>Correct</v>
      </c>
      <c r="H19">
        <f t="shared" si="2"/>
        <v>0</v>
      </c>
      <c r="I19">
        <v>18</v>
      </c>
      <c r="J19" t="str">
        <f t="shared" si="4"/>
        <v/>
      </c>
      <c r="K19" t="str">
        <f t="shared" si="3"/>
        <v/>
      </c>
    </row>
    <row r="20" spans="1:12" x14ac:dyDescent="0.3">
      <c r="A20">
        <v>19</v>
      </c>
      <c r="B20" t="s">
        <v>189</v>
      </c>
      <c r="C20" t="s">
        <v>26</v>
      </c>
      <c r="D20" t="s">
        <v>190</v>
      </c>
      <c r="E20" t="s">
        <v>26</v>
      </c>
      <c r="F20">
        <f t="shared" si="0"/>
        <v>4</v>
      </c>
      <c r="G20" t="str">
        <f t="shared" si="1"/>
        <v>Correct</v>
      </c>
      <c r="H20">
        <f t="shared" si="2"/>
        <v>0</v>
      </c>
      <c r="I20">
        <v>19</v>
      </c>
      <c r="J20" t="str">
        <f t="shared" si="4"/>
        <v/>
      </c>
      <c r="K20" t="str">
        <f t="shared" si="3"/>
        <v/>
      </c>
    </row>
    <row r="21" spans="1:12" x14ac:dyDescent="0.3">
      <c r="A21">
        <v>20</v>
      </c>
      <c r="B21" t="s">
        <v>191</v>
      </c>
      <c r="C21" t="s">
        <v>23</v>
      </c>
      <c r="D21" t="s">
        <v>192</v>
      </c>
      <c r="E21" t="s">
        <v>23</v>
      </c>
      <c r="F21">
        <f t="shared" si="0"/>
        <v>4</v>
      </c>
      <c r="G21" t="str">
        <f t="shared" si="1"/>
        <v>Correct</v>
      </c>
      <c r="H21">
        <f t="shared" si="2"/>
        <v>0</v>
      </c>
      <c r="I21">
        <v>20</v>
      </c>
      <c r="J21" t="str">
        <f t="shared" si="4"/>
        <v/>
      </c>
      <c r="K21" t="str">
        <f t="shared" si="3"/>
        <v/>
      </c>
    </row>
    <row r="22" spans="1:12" x14ac:dyDescent="0.3">
      <c r="A22">
        <v>21</v>
      </c>
      <c r="B22" t="s">
        <v>193</v>
      </c>
      <c r="C22" t="s">
        <v>32</v>
      </c>
      <c r="D22" t="s">
        <v>188</v>
      </c>
      <c r="E22" t="s">
        <v>23</v>
      </c>
      <c r="F22">
        <f t="shared" si="0"/>
        <v>-1</v>
      </c>
      <c r="G22" t="str">
        <f t="shared" si="1"/>
        <v>Incorrect</v>
      </c>
      <c r="H22">
        <f t="shared" si="2"/>
        <v>1</v>
      </c>
      <c r="I22">
        <v>21</v>
      </c>
      <c r="J22">
        <f t="shared" si="4"/>
        <v>21</v>
      </c>
      <c r="K22">
        <f t="shared" si="3"/>
        <v>21</v>
      </c>
      <c r="L22" t="s">
        <v>194</v>
      </c>
    </row>
    <row r="23" spans="1:12" x14ac:dyDescent="0.3">
      <c r="A23">
        <v>22</v>
      </c>
      <c r="B23" t="s">
        <v>195</v>
      </c>
      <c r="C23" t="s">
        <v>23</v>
      </c>
      <c r="D23" t="s">
        <v>196</v>
      </c>
      <c r="E23" t="s">
        <v>29</v>
      </c>
      <c r="F23">
        <f t="shared" si="0"/>
        <v>-1</v>
      </c>
      <c r="G23" t="str">
        <f t="shared" si="1"/>
        <v>Incorrect</v>
      </c>
      <c r="H23">
        <f t="shared" si="2"/>
        <v>1</v>
      </c>
      <c r="I23">
        <v>22</v>
      </c>
      <c r="J23">
        <f t="shared" si="4"/>
        <v>22</v>
      </c>
      <c r="K23">
        <f t="shared" si="3"/>
        <v>22</v>
      </c>
      <c r="L23" t="s">
        <v>197</v>
      </c>
    </row>
    <row r="24" spans="1:12" x14ac:dyDescent="0.3">
      <c r="A24">
        <v>23</v>
      </c>
      <c r="B24" t="s">
        <v>198</v>
      </c>
      <c r="C24" t="s">
        <v>32</v>
      </c>
      <c r="D24" t="s">
        <v>199</v>
      </c>
      <c r="E24" t="s">
        <v>32</v>
      </c>
      <c r="F24">
        <f t="shared" si="0"/>
        <v>4</v>
      </c>
      <c r="G24" t="str">
        <f t="shared" si="1"/>
        <v>Correct</v>
      </c>
      <c r="H24">
        <f t="shared" si="2"/>
        <v>0</v>
      </c>
      <c r="I24">
        <v>23</v>
      </c>
      <c r="J24" t="str">
        <f t="shared" si="4"/>
        <v/>
      </c>
      <c r="K24" t="str">
        <f t="shared" si="3"/>
        <v/>
      </c>
    </row>
    <row r="25" spans="1:12" x14ac:dyDescent="0.3">
      <c r="A25">
        <v>24</v>
      </c>
      <c r="B25" t="s">
        <v>200</v>
      </c>
      <c r="C25" t="s">
        <v>23</v>
      </c>
      <c r="D25" t="s">
        <v>201</v>
      </c>
      <c r="E25" t="s">
        <v>26</v>
      </c>
      <c r="F25">
        <f t="shared" si="0"/>
        <v>-1</v>
      </c>
      <c r="G25" t="str">
        <f t="shared" si="1"/>
        <v>Incorrect</v>
      </c>
      <c r="H25">
        <f t="shared" si="2"/>
        <v>1</v>
      </c>
      <c r="I25">
        <v>24</v>
      </c>
      <c r="J25">
        <f t="shared" si="4"/>
        <v>24</v>
      </c>
      <c r="K25">
        <f t="shared" si="3"/>
        <v>24</v>
      </c>
      <c r="L25" t="s">
        <v>202</v>
      </c>
    </row>
    <row r="26" spans="1:12" x14ac:dyDescent="0.3">
      <c r="A26">
        <v>25</v>
      </c>
      <c r="B26" t="s">
        <v>203</v>
      </c>
      <c r="C26" t="s">
        <v>26</v>
      </c>
      <c r="D26" t="s">
        <v>204</v>
      </c>
      <c r="E26" t="s">
        <v>26</v>
      </c>
      <c r="F26">
        <f t="shared" si="0"/>
        <v>4</v>
      </c>
      <c r="G26" t="str">
        <f t="shared" si="1"/>
        <v>Correct</v>
      </c>
      <c r="H26">
        <f t="shared" si="2"/>
        <v>0</v>
      </c>
      <c r="I26">
        <v>25</v>
      </c>
      <c r="J26" t="str">
        <f t="shared" si="4"/>
        <v/>
      </c>
      <c r="K26" t="str">
        <f t="shared" si="3"/>
        <v/>
      </c>
    </row>
    <row r="27" spans="1:12" x14ac:dyDescent="0.3">
      <c r="A27">
        <v>26</v>
      </c>
      <c r="B27" t="s">
        <v>205</v>
      </c>
      <c r="C27" t="s">
        <v>32</v>
      </c>
      <c r="D27" t="s">
        <v>206</v>
      </c>
      <c r="E27" t="s">
        <v>32</v>
      </c>
      <c r="F27">
        <f t="shared" si="0"/>
        <v>4</v>
      </c>
      <c r="G27" t="str">
        <f t="shared" si="1"/>
        <v>Correct</v>
      </c>
      <c r="H27">
        <f t="shared" si="2"/>
        <v>0</v>
      </c>
      <c r="I27">
        <v>26</v>
      </c>
      <c r="J27" t="str">
        <f t="shared" si="4"/>
        <v/>
      </c>
      <c r="K27">
        <f t="shared" si="3"/>
        <v>26</v>
      </c>
      <c r="L27" t="s">
        <v>207</v>
      </c>
    </row>
    <row r="28" spans="1:12" x14ac:dyDescent="0.3">
      <c r="A28">
        <v>27</v>
      </c>
      <c r="B28" t="s">
        <v>208</v>
      </c>
      <c r="C28" t="s">
        <v>26</v>
      </c>
      <c r="D28" t="s">
        <v>209</v>
      </c>
      <c r="E28" t="s">
        <v>26</v>
      </c>
      <c r="F28">
        <f t="shared" si="0"/>
        <v>4</v>
      </c>
      <c r="G28" t="str">
        <f t="shared" si="1"/>
        <v>Correct</v>
      </c>
      <c r="H28">
        <f t="shared" si="2"/>
        <v>0</v>
      </c>
      <c r="I28">
        <v>27</v>
      </c>
      <c r="J28" t="str">
        <f t="shared" si="4"/>
        <v/>
      </c>
      <c r="K28" t="str">
        <f t="shared" si="3"/>
        <v/>
      </c>
    </row>
    <row r="29" spans="1:12" x14ac:dyDescent="0.3">
      <c r="A29">
        <v>28</v>
      </c>
      <c r="B29" t="s">
        <v>210</v>
      </c>
      <c r="C29" t="s">
        <v>23</v>
      </c>
      <c r="D29" t="s">
        <v>211</v>
      </c>
      <c r="E29" t="s">
        <v>23</v>
      </c>
      <c r="F29">
        <f t="shared" si="0"/>
        <v>4</v>
      </c>
      <c r="G29" t="str">
        <f t="shared" si="1"/>
        <v>Correct</v>
      </c>
      <c r="H29">
        <f t="shared" si="2"/>
        <v>0</v>
      </c>
      <c r="I29">
        <v>28</v>
      </c>
      <c r="J29" t="str">
        <f t="shared" si="4"/>
        <v/>
      </c>
      <c r="K29" t="str">
        <f t="shared" si="3"/>
        <v/>
      </c>
    </row>
    <row r="30" spans="1:12" x14ac:dyDescent="0.3">
      <c r="A30">
        <v>29</v>
      </c>
      <c r="B30" t="s">
        <v>212</v>
      </c>
      <c r="C30" t="s">
        <v>32</v>
      </c>
      <c r="D30" t="s">
        <v>213</v>
      </c>
      <c r="E30" t="s">
        <v>23</v>
      </c>
      <c r="F30">
        <f t="shared" si="0"/>
        <v>-1</v>
      </c>
      <c r="G30" t="str">
        <f t="shared" si="1"/>
        <v>Incorrect</v>
      </c>
      <c r="H30">
        <f t="shared" si="2"/>
        <v>1</v>
      </c>
      <c r="I30">
        <v>29</v>
      </c>
      <c r="J30">
        <f t="shared" si="4"/>
        <v>29</v>
      </c>
      <c r="K30">
        <f t="shared" si="3"/>
        <v>29</v>
      </c>
      <c r="L30" t="s">
        <v>214</v>
      </c>
    </row>
    <row r="31" spans="1:12" x14ac:dyDescent="0.3">
      <c r="A31">
        <v>30</v>
      </c>
      <c r="B31" t="s">
        <v>215</v>
      </c>
      <c r="C31" t="s">
        <v>26</v>
      </c>
      <c r="D31" t="s">
        <v>216</v>
      </c>
      <c r="E31" t="s">
        <v>29</v>
      </c>
      <c r="F31">
        <f t="shared" si="0"/>
        <v>-1</v>
      </c>
      <c r="G31" t="str">
        <f t="shared" si="1"/>
        <v>Incorrect</v>
      </c>
      <c r="H31">
        <f t="shared" si="2"/>
        <v>1</v>
      </c>
      <c r="I31">
        <v>30</v>
      </c>
      <c r="J31">
        <f t="shared" si="4"/>
        <v>30</v>
      </c>
      <c r="K31">
        <f t="shared" si="3"/>
        <v>30</v>
      </c>
      <c r="L31" t="s">
        <v>217</v>
      </c>
    </row>
    <row r="32" spans="1:12" x14ac:dyDescent="0.3">
      <c r="F32">
        <f>SUM(F2:F31)</f>
        <v>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2"/>
  <sheetViews>
    <sheetView workbookViewId="0"/>
  </sheetViews>
  <sheetFormatPr defaultRowHeight="14.4" x14ac:dyDescent="0.3"/>
  <cols>
    <col min="1" max="1" width="15" customWidth="1"/>
    <col min="2" max="2" width="50" customWidth="1"/>
    <col min="3" max="3" width="23"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11</v>
      </c>
      <c r="D1" t="s">
        <v>12</v>
      </c>
      <c r="E1" t="s">
        <v>13</v>
      </c>
      <c r="F1" t="s">
        <v>14</v>
      </c>
      <c r="G1" t="s">
        <v>15</v>
      </c>
      <c r="H1" t="s">
        <v>16</v>
      </c>
      <c r="I1" t="s">
        <v>17</v>
      </c>
      <c r="J1" t="s">
        <v>18</v>
      </c>
      <c r="K1" t="s">
        <v>19</v>
      </c>
      <c r="L1" t="s">
        <v>20</v>
      </c>
      <c r="M1" t="s">
        <v>21</v>
      </c>
    </row>
    <row r="2" spans="1:13" x14ac:dyDescent="0.3">
      <c r="A2">
        <v>1</v>
      </c>
      <c r="B2" t="s">
        <v>218</v>
      </c>
      <c r="C2" t="s">
        <v>23</v>
      </c>
      <c r="D2" t="s">
        <v>219</v>
      </c>
      <c r="E2" t="s">
        <v>23</v>
      </c>
      <c r="F2">
        <f t="shared" ref="F2:F31" si="0">IF(C2&lt;&gt;E2,-1,4)</f>
        <v>4</v>
      </c>
      <c r="G2">
        <v>209</v>
      </c>
      <c r="H2" t="str">
        <f t="shared" ref="H2:H31" si="1">IF(F2=4,"Correct",IF(F2=0,"Unattempted","Incorrect"))</f>
        <v>Correct</v>
      </c>
      <c r="I2">
        <f t="shared" ref="I2:I31" si="2">COUNTIF(H2,"=Unattempted") + COUNTIF(H2,"=Incorrect")</f>
        <v>0</v>
      </c>
      <c r="J2">
        <v>1</v>
      </c>
      <c r="K2" t="str">
        <f t="shared" ref="K2:K31" si="3">IF(I2,J2,"")</f>
        <v/>
      </c>
      <c r="L2">
        <v>1</v>
      </c>
      <c r="M2" t="s">
        <v>220</v>
      </c>
    </row>
    <row r="3" spans="1:13" x14ac:dyDescent="0.3">
      <c r="A3">
        <v>2</v>
      </c>
      <c r="B3" t="s">
        <v>221</v>
      </c>
      <c r="C3" t="s">
        <v>29</v>
      </c>
      <c r="D3" t="s">
        <v>222</v>
      </c>
      <c r="E3" t="s">
        <v>29</v>
      </c>
      <c r="F3">
        <f t="shared" si="0"/>
        <v>4</v>
      </c>
      <c r="G3">
        <v>34</v>
      </c>
      <c r="H3" t="str">
        <f t="shared" si="1"/>
        <v>Correct</v>
      </c>
      <c r="I3">
        <f t="shared" si="2"/>
        <v>0</v>
      </c>
      <c r="J3">
        <v>2</v>
      </c>
      <c r="K3" t="str">
        <f t="shared" si="3"/>
        <v/>
      </c>
    </row>
    <row r="4" spans="1:13" x14ac:dyDescent="0.3">
      <c r="A4">
        <v>3</v>
      </c>
      <c r="B4" t="s">
        <v>223</v>
      </c>
      <c r="C4" t="s">
        <v>26</v>
      </c>
      <c r="D4" t="s">
        <v>224</v>
      </c>
      <c r="E4" t="s">
        <v>26</v>
      </c>
      <c r="F4">
        <f t="shared" si="0"/>
        <v>4</v>
      </c>
      <c r="G4">
        <v>227</v>
      </c>
      <c r="H4" t="str">
        <f t="shared" si="1"/>
        <v>Correct</v>
      </c>
      <c r="I4">
        <f t="shared" si="2"/>
        <v>0</v>
      </c>
      <c r="J4">
        <v>3</v>
      </c>
      <c r="K4" t="str">
        <f t="shared" si="3"/>
        <v/>
      </c>
      <c r="M4" t="s">
        <v>225</v>
      </c>
    </row>
    <row r="5" spans="1:13" x14ac:dyDescent="0.3">
      <c r="A5">
        <v>4</v>
      </c>
      <c r="B5" t="s">
        <v>226</v>
      </c>
      <c r="C5" t="s">
        <v>26</v>
      </c>
      <c r="D5" t="s">
        <v>227</v>
      </c>
      <c r="E5" t="s">
        <v>26</v>
      </c>
      <c r="F5">
        <f t="shared" si="0"/>
        <v>4</v>
      </c>
      <c r="G5">
        <v>95</v>
      </c>
      <c r="H5" t="str">
        <f t="shared" si="1"/>
        <v>Correct</v>
      </c>
      <c r="I5">
        <f t="shared" si="2"/>
        <v>0</v>
      </c>
      <c r="J5">
        <v>4</v>
      </c>
      <c r="K5" t="str">
        <f t="shared" si="3"/>
        <v/>
      </c>
      <c r="L5">
        <v>4</v>
      </c>
      <c r="M5" t="s">
        <v>228</v>
      </c>
    </row>
    <row r="6" spans="1:13" x14ac:dyDescent="0.3">
      <c r="A6">
        <v>5</v>
      </c>
      <c r="B6" t="s">
        <v>229</v>
      </c>
      <c r="C6" t="s">
        <v>29</v>
      </c>
      <c r="D6">
        <v>0</v>
      </c>
      <c r="E6" t="s">
        <v>32</v>
      </c>
      <c r="F6">
        <f t="shared" si="0"/>
        <v>-1</v>
      </c>
      <c r="G6">
        <v>161</v>
      </c>
      <c r="H6" t="str">
        <f t="shared" si="1"/>
        <v>Incorrect</v>
      </c>
      <c r="I6">
        <f t="shared" si="2"/>
        <v>1</v>
      </c>
      <c r="J6">
        <v>5</v>
      </c>
      <c r="K6">
        <f t="shared" si="3"/>
        <v>5</v>
      </c>
      <c r="L6">
        <v>5</v>
      </c>
      <c r="M6" t="s">
        <v>230</v>
      </c>
    </row>
    <row r="7" spans="1:13" x14ac:dyDescent="0.3">
      <c r="A7">
        <v>6</v>
      </c>
      <c r="B7" t="s">
        <v>231</v>
      </c>
      <c r="C7" t="s">
        <v>32</v>
      </c>
      <c r="D7" t="s">
        <v>232</v>
      </c>
      <c r="E7" t="s">
        <v>32</v>
      </c>
      <c r="F7">
        <f t="shared" si="0"/>
        <v>4</v>
      </c>
      <c r="G7">
        <v>60</v>
      </c>
      <c r="H7" t="str">
        <f t="shared" si="1"/>
        <v>Correct</v>
      </c>
      <c r="I7">
        <f t="shared" si="2"/>
        <v>0</v>
      </c>
      <c r="J7">
        <v>6</v>
      </c>
      <c r="K7" t="str">
        <f t="shared" si="3"/>
        <v/>
      </c>
      <c r="L7">
        <v>6</v>
      </c>
    </row>
    <row r="8" spans="1:13" x14ac:dyDescent="0.3">
      <c r="A8">
        <v>7</v>
      </c>
      <c r="B8" t="s">
        <v>233</v>
      </c>
      <c r="C8" t="s">
        <v>23</v>
      </c>
      <c r="D8" t="s">
        <v>234</v>
      </c>
      <c r="E8" t="s">
        <v>32</v>
      </c>
      <c r="F8">
        <f t="shared" si="0"/>
        <v>-1</v>
      </c>
      <c r="G8">
        <v>272</v>
      </c>
      <c r="H8" t="str">
        <f t="shared" si="1"/>
        <v>Incorrect</v>
      </c>
      <c r="I8">
        <f t="shared" si="2"/>
        <v>1</v>
      </c>
      <c r="J8">
        <v>7</v>
      </c>
      <c r="K8">
        <f t="shared" si="3"/>
        <v>7</v>
      </c>
      <c r="L8">
        <v>7</v>
      </c>
      <c r="M8" t="s">
        <v>235</v>
      </c>
    </row>
    <row r="9" spans="1:13" x14ac:dyDescent="0.3">
      <c r="A9">
        <v>8</v>
      </c>
      <c r="B9" t="s">
        <v>236</v>
      </c>
      <c r="C9" t="s">
        <v>29</v>
      </c>
      <c r="D9" t="s">
        <v>237</v>
      </c>
      <c r="E9" t="s">
        <v>29</v>
      </c>
      <c r="F9">
        <f t="shared" si="0"/>
        <v>4</v>
      </c>
      <c r="G9">
        <v>103</v>
      </c>
      <c r="H9" t="str">
        <f t="shared" si="1"/>
        <v>Correct</v>
      </c>
      <c r="I9">
        <f t="shared" si="2"/>
        <v>0</v>
      </c>
      <c r="J9">
        <v>8</v>
      </c>
      <c r="K9" t="str">
        <f t="shared" si="3"/>
        <v/>
      </c>
    </row>
    <row r="10" spans="1:13" x14ac:dyDescent="0.3">
      <c r="A10">
        <v>9</v>
      </c>
      <c r="B10" t="s">
        <v>238</v>
      </c>
      <c r="C10" t="s">
        <v>26</v>
      </c>
      <c r="D10" t="s">
        <v>239</v>
      </c>
      <c r="E10" t="s">
        <v>26</v>
      </c>
      <c r="F10">
        <f t="shared" si="0"/>
        <v>4</v>
      </c>
      <c r="G10">
        <v>655</v>
      </c>
      <c r="H10" t="str">
        <f t="shared" si="1"/>
        <v>Correct</v>
      </c>
      <c r="I10">
        <f t="shared" si="2"/>
        <v>0</v>
      </c>
      <c r="J10">
        <v>9</v>
      </c>
      <c r="K10" t="str">
        <f t="shared" si="3"/>
        <v/>
      </c>
      <c r="L10">
        <v>9</v>
      </c>
      <c r="M10" t="s">
        <v>240</v>
      </c>
    </row>
    <row r="11" spans="1:13" x14ac:dyDescent="0.3">
      <c r="A11">
        <v>10</v>
      </c>
      <c r="B11" t="s">
        <v>241</v>
      </c>
      <c r="C11" t="s">
        <v>23</v>
      </c>
      <c r="D11" t="s">
        <v>242</v>
      </c>
      <c r="E11" t="s">
        <v>23</v>
      </c>
      <c r="F11">
        <f t="shared" si="0"/>
        <v>4</v>
      </c>
      <c r="G11">
        <v>149</v>
      </c>
      <c r="H11" t="str">
        <f t="shared" si="1"/>
        <v>Correct</v>
      </c>
      <c r="I11">
        <f t="shared" si="2"/>
        <v>0</v>
      </c>
      <c r="J11">
        <v>10</v>
      </c>
      <c r="K11" t="str">
        <f t="shared" si="3"/>
        <v/>
      </c>
      <c r="L11">
        <v>10</v>
      </c>
      <c r="M11" t="s">
        <v>243</v>
      </c>
    </row>
    <row r="12" spans="1:13" x14ac:dyDescent="0.3">
      <c r="A12">
        <v>11</v>
      </c>
      <c r="B12" t="s">
        <v>244</v>
      </c>
      <c r="C12" t="s">
        <v>26</v>
      </c>
      <c r="D12" t="s">
        <v>245</v>
      </c>
      <c r="E12" t="s">
        <v>26</v>
      </c>
      <c r="F12">
        <f t="shared" si="0"/>
        <v>4</v>
      </c>
      <c r="G12">
        <v>35</v>
      </c>
      <c r="H12" t="str">
        <f t="shared" si="1"/>
        <v>Correct</v>
      </c>
      <c r="I12">
        <f t="shared" si="2"/>
        <v>0</v>
      </c>
      <c r="J12">
        <v>11</v>
      </c>
      <c r="K12" t="str">
        <f t="shared" si="3"/>
        <v/>
      </c>
    </row>
    <row r="13" spans="1:13" x14ac:dyDescent="0.3">
      <c r="A13">
        <v>12</v>
      </c>
      <c r="B13" t="s">
        <v>246</v>
      </c>
      <c r="C13" t="s">
        <v>32</v>
      </c>
      <c r="D13" t="s">
        <v>247</v>
      </c>
      <c r="E13" t="s">
        <v>32</v>
      </c>
      <c r="F13">
        <f t="shared" si="0"/>
        <v>4</v>
      </c>
      <c r="G13">
        <v>248</v>
      </c>
      <c r="H13" t="str">
        <f t="shared" si="1"/>
        <v>Correct</v>
      </c>
      <c r="I13">
        <f t="shared" si="2"/>
        <v>0</v>
      </c>
      <c r="J13">
        <v>12</v>
      </c>
      <c r="K13" t="str">
        <f t="shared" si="3"/>
        <v/>
      </c>
      <c r="L13">
        <v>12</v>
      </c>
      <c r="M13" t="s">
        <v>248</v>
      </c>
    </row>
    <row r="14" spans="1:13" x14ac:dyDescent="0.3">
      <c r="A14">
        <v>13</v>
      </c>
      <c r="B14" t="s">
        <v>249</v>
      </c>
      <c r="C14" t="s">
        <v>26</v>
      </c>
      <c r="D14" t="s">
        <v>250</v>
      </c>
      <c r="E14" t="s">
        <v>29</v>
      </c>
      <c r="F14">
        <f t="shared" si="0"/>
        <v>-1</v>
      </c>
      <c r="G14">
        <v>257</v>
      </c>
      <c r="H14" t="str">
        <f t="shared" si="1"/>
        <v>Incorrect</v>
      </c>
      <c r="I14">
        <f t="shared" si="2"/>
        <v>1</v>
      </c>
      <c r="J14">
        <v>13</v>
      </c>
      <c r="K14">
        <f t="shared" si="3"/>
        <v>13</v>
      </c>
      <c r="L14">
        <v>13</v>
      </c>
      <c r="M14" t="s">
        <v>251</v>
      </c>
    </row>
    <row r="15" spans="1:13" x14ac:dyDescent="0.3">
      <c r="A15">
        <v>14</v>
      </c>
      <c r="B15" t="s">
        <v>252</v>
      </c>
      <c r="C15" t="s">
        <v>29</v>
      </c>
      <c r="D15" t="s">
        <v>253</v>
      </c>
      <c r="E15" t="s">
        <v>29</v>
      </c>
      <c r="F15">
        <f t="shared" si="0"/>
        <v>4</v>
      </c>
      <c r="G15">
        <v>709</v>
      </c>
      <c r="H15" t="str">
        <f t="shared" si="1"/>
        <v>Correct</v>
      </c>
      <c r="I15">
        <f t="shared" si="2"/>
        <v>0</v>
      </c>
      <c r="J15">
        <v>14</v>
      </c>
      <c r="K15" t="str">
        <f t="shared" si="3"/>
        <v/>
      </c>
      <c r="L15">
        <v>14</v>
      </c>
      <c r="M15" t="s">
        <v>254</v>
      </c>
    </row>
    <row r="16" spans="1:13" x14ac:dyDescent="0.3">
      <c r="A16">
        <v>15</v>
      </c>
      <c r="B16" t="s">
        <v>255</v>
      </c>
      <c r="C16" t="s">
        <v>32</v>
      </c>
      <c r="D16" t="s">
        <v>256</v>
      </c>
      <c r="E16" t="s">
        <v>29</v>
      </c>
      <c r="F16">
        <f t="shared" si="0"/>
        <v>-1</v>
      </c>
      <c r="G16">
        <v>338</v>
      </c>
      <c r="H16" t="str">
        <f t="shared" si="1"/>
        <v>Incorrect</v>
      </c>
      <c r="I16">
        <f t="shared" si="2"/>
        <v>1</v>
      </c>
      <c r="J16">
        <v>15</v>
      </c>
      <c r="K16">
        <f t="shared" si="3"/>
        <v>15</v>
      </c>
      <c r="L16">
        <v>15</v>
      </c>
      <c r="M16" t="s">
        <v>257</v>
      </c>
    </row>
    <row r="17" spans="1:13" x14ac:dyDescent="0.3">
      <c r="A17">
        <v>16</v>
      </c>
      <c r="B17" t="s">
        <v>258</v>
      </c>
      <c r="C17" t="s">
        <v>26</v>
      </c>
      <c r="D17" t="s">
        <v>259</v>
      </c>
      <c r="E17" t="s">
        <v>26</v>
      </c>
      <c r="F17">
        <f t="shared" si="0"/>
        <v>4</v>
      </c>
      <c r="G17">
        <v>57</v>
      </c>
      <c r="H17" t="str">
        <f t="shared" si="1"/>
        <v>Correct</v>
      </c>
      <c r="I17">
        <f t="shared" si="2"/>
        <v>0</v>
      </c>
      <c r="J17">
        <v>16</v>
      </c>
      <c r="K17" t="str">
        <f t="shared" si="3"/>
        <v/>
      </c>
    </row>
    <row r="18" spans="1:13" x14ac:dyDescent="0.3">
      <c r="A18">
        <v>17</v>
      </c>
      <c r="B18" t="s">
        <v>260</v>
      </c>
      <c r="C18" t="s">
        <v>26</v>
      </c>
      <c r="D18">
        <v>5</v>
      </c>
      <c r="E18" t="s">
        <v>26</v>
      </c>
      <c r="F18">
        <f t="shared" si="0"/>
        <v>4</v>
      </c>
      <c r="G18">
        <v>406</v>
      </c>
      <c r="H18" t="str">
        <f t="shared" si="1"/>
        <v>Correct</v>
      </c>
      <c r="I18">
        <f t="shared" si="2"/>
        <v>0</v>
      </c>
      <c r="J18">
        <v>17</v>
      </c>
      <c r="K18" t="str">
        <f t="shared" si="3"/>
        <v/>
      </c>
      <c r="L18">
        <v>17</v>
      </c>
      <c r="M18" t="s">
        <v>261</v>
      </c>
    </row>
    <row r="19" spans="1:13" x14ac:dyDescent="0.3">
      <c r="A19">
        <v>18</v>
      </c>
      <c r="B19" t="s">
        <v>262</v>
      </c>
      <c r="C19" t="s">
        <v>32</v>
      </c>
      <c r="D19">
        <v>7</v>
      </c>
      <c r="E19" t="s">
        <v>32</v>
      </c>
      <c r="F19">
        <f t="shared" si="0"/>
        <v>4</v>
      </c>
      <c r="G19">
        <v>508</v>
      </c>
      <c r="H19" t="str">
        <f t="shared" si="1"/>
        <v>Correct</v>
      </c>
      <c r="I19">
        <f t="shared" si="2"/>
        <v>0</v>
      </c>
      <c r="J19">
        <v>18</v>
      </c>
      <c r="K19" t="str">
        <f t="shared" si="3"/>
        <v/>
      </c>
      <c r="L19">
        <v>18</v>
      </c>
      <c r="M19" t="s">
        <v>263</v>
      </c>
    </row>
    <row r="20" spans="1:13" x14ac:dyDescent="0.3">
      <c r="A20">
        <v>19</v>
      </c>
      <c r="B20" t="s">
        <v>264</v>
      </c>
      <c r="C20" t="s">
        <v>29</v>
      </c>
      <c r="D20" t="s">
        <v>265</v>
      </c>
      <c r="E20" t="s">
        <v>29</v>
      </c>
      <c r="F20">
        <f t="shared" si="0"/>
        <v>4</v>
      </c>
      <c r="G20">
        <v>385</v>
      </c>
      <c r="H20" t="str">
        <f t="shared" si="1"/>
        <v>Correct</v>
      </c>
      <c r="I20">
        <f t="shared" si="2"/>
        <v>0</v>
      </c>
      <c r="J20">
        <v>19</v>
      </c>
      <c r="K20" t="str">
        <f t="shared" si="3"/>
        <v/>
      </c>
      <c r="L20">
        <v>19</v>
      </c>
      <c r="M20" t="s">
        <v>266</v>
      </c>
    </row>
    <row r="21" spans="1:13" x14ac:dyDescent="0.3">
      <c r="A21">
        <v>20</v>
      </c>
      <c r="B21" t="s">
        <v>267</v>
      </c>
      <c r="C21" t="s">
        <v>23</v>
      </c>
      <c r="D21" t="s">
        <v>268</v>
      </c>
      <c r="E21" t="s">
        <v>23</v>
      </c>
      <c r="F21">
        <f t="shared" si="0"/>
        <v>4</v>
      </c>
      <c r="G21">
        <v>296</v>
      </c>
      <c r="H21" t="str">
        <f t="shared" si="1"/>
        <v>Correct</v>
      </c>
      <c r="I21">
        <f t="shared" si="2"/>
        <v>0</v>
      </c>
      <c r="J21">
        <v>20</v>
      </c>
      <c r="K21" t="str">
        <f t="shared" si="3"/>
        <v/>
      </c>
    </row>
    <row r="22" spans="1:13" x14ac:dyDescent="0.3">
      <c r="A22">
        <v>21</v>
      </c>
      <c r="B22" t="s">
        <v>269</v>
      </c>
      <c r="C22" t="s">
        <v>32</v>
      </c>
      <c r="D22">
        <v>0</v>
      </c>
      <c r="E22" t="s">
        <v>32</v>
      </c>
      <c r="F22">
        <f t="shared" si="0"/>
        <v>4</v>
      </c>
      <c r="G22">
        <v>106</v>
      </c>
      <c r="H22" t="str">
        <f t="shared" si="1"/>
        <v>Correct</v>
      </c>
      <c r="I22">
        <f t="shared" si="2"/>
        <v>0</v>
      </c>
      <c r="J22">
        <v>21</v>
      </c>
      <c r="K22" t="str">
        <f t="shared" si="3"/>
        <v/>
      </c>
    </row>
    <row r="23" spans="1:13" x14ac:dyDescent="0.3">
      <c r="A23">
        <v>22</v>
      </c>
      <c r="B23" t="s">
        <v>270</v>
      </c>
      <c r="C23" t="s">
        <v>23</v>
      </c>
      <c r="D23" t="s">
        <v>271</v>
      </c>
      <c r="E23" t="s">
        <v>23</v>
      </c>
      <c r="F23">
        <f t="shared" si="0"/>
        <v>4</v>
      </c>
      <c r="G23">
        <v>276</v>
      </c>
      <c r="H23" t="str">
        <f t="shared" si="1"/>
        <v>Correct</v>
      </c>
      <c r="I23">
        <f t="shared" si="2"/>
        <v>0</v>
      </c>
      <c r="J23">
        <v>22</v>
      </c>
      <c r="K23" t="str">
        <f t="shared" si="3"/>
        <v/>
      </c>
    </row>
    <row r="24" spans="1:13" x14ac:dyDescent="0.3">
      <c r="A24">
        <v>23</v>
      </c>
      <c r="B24" t="s">
        <v>272</v>
      </c>
      <c r="C24" t="s">
        <v>23</v>
      </c>
      <c r="D24" t="s">
        <v>273</v>
      </c>
      <c r="E24" t="s">
        <v>23</v>
      </c>
      <c r="F24">
        <f t="shared" si="0"/>
        <v>4</v>
      </c>
      <c r="G24">
        <v>244</v>
      </c>
      <c r="H24" t="str">
        <f t="shared" si="1"/>
        <v>Correct</v>
      </c>
      <c r="I24">
        <f t="shared" si="2"/>
        <v>0</v>
      </c>
      <c r="J24">
        <v>23</v>
      </c>
      <c r="K24" t="str">
        <f t="shared" si="3"/>
        <v/>
      </c>
    </row>
    <row r="25" spans="1:13" x14ac:dyDescent="0.3">
      <c r="A25">
        <v>24</v>
      </c>
      <c r="B25" t="s">
        <v>274</v>
      </c>
      <c r="C25" t="s">
        <v>32</v>
      </c>
      <c r="D25" t="s">
        <v>275</v>
      </c>
      <c r="E25" t="s">
        <v>32</v>
      </c>
      <c r="F25">
        <f t="shared" si="0"/>
        <v>4</v>
      </c>
      <c r="G25">
        <v>197</v>
      </c>
      <c r="H25" t="str">
        <f t="shared" si="1"/>
        <v>Correct</v>
      </c>
      <c r="I25">
        <f t="shared" si="2"/>
        <v>0</v>
      </c>
      <c r="J25">
        <v>24</v>
      </c>
      <c r="K25" t="str">
        <f t="shared" si="3"/>
        <v/>
      </c>
      <c r="L25">
        <v>24</v>
      </c>
      <c r="M25" t="s">
        <v>276</v>
      </c>
    </row>
    <row r="26" spans="1:13" x14ac:dyDescent="0.3">
      <c r="A26">
        <v>25</v>
      </c>
      <c r="B26" t="s">
        <v>277</v>
      </c>
      <c r="C26" t="s">
        <v>26</v>
      </c>
      <c r="D26">
        <v>615</v>
      </c>
      <c r="E26" t="s">
        <v>26</v>
      </c>
      <c r="F26">
        <f t="shared" si="0"/>
        <v>4</v>
      </c>
      <c r="G26">
        <v>298</v>
      </c>
      <c r="H26" t="str">
        <f t="shared" si="1"/>
        <v>Correct</v>
      </c>
      <c r="I26">
        <f t="shared" si="2"/>
        <v>0</v>
      </c>
      <c r="J26">
        <v>25</v>
      </c>
      <c r="K26" t="str">
        <f t="shared" si="3"/>
        <v/>
      </c>
      <c r="L26">
        <v>25</v>
      </c>
      <c r="M26" t="s">
        <v>278</v>
      </c>
    </row>
    <row r="27" spans="1:13" x14ac:dyDescent="0.3">
      <c r="A27">
        <v>26</v>
      </c>
      <c r="B27" t="s">
        <v>279</v>
      </c>
      <c r="C27" t="s">
        <v>23</v>
      </c>
      <c r="D27" t="s">
        <v>280</v>
      </c>
      <c r="E27" t="s">
        <v>23</v>
      </c>
      <c r="F27">
        <f t="shared" si="0"/>
        <v>4</v>
      </c>
      <c r="G27">
        <v>276</v>
      </c>
      <c r="H27" t="str">
        <f t="shared" si="1"/>
        <v>Correct</v>
      </c>
      <c r="I27">
        <f t="shared" si="2"/>
        <v>0</v>
      </c>
      <c r="J27">
        <v>26</v>
      </c>
      <c r="K27" t="str">
        <f t="shared" si="3"/>
        <v/>
      </c>
    </row>
    <row r="28" spans="1:13" x14ac:dyDescent="0.3">
      <c r="A28">
        <v>27</v>
      </c>
      <c r="B28" t="s">
        <v>281</v>
      </c>
      <c r="C28" t="s">
        <v>23</v>
      </c>
      <c r="D28" t="s">
        <v>282</v>
      </c>
      <c r="E28" t="s">
        <v>32</v>
      </c>
      <c r="F28">
        <f t="shared" si="0"/>
        <v>-1</v>
      </c>
      <c r="G28">
        <v>252</v>
      </c>
      <c r="H28" t="str">
        <f t="shared" si="1"/>
        <v>Incorrect</v>
      </c>
      <c r="I28">
        <f t="shared" si="2"/>
        <v>1</v>
      </c>
      <c r="J28">
        <v>27</v>
      </c>
      <c r="K28">
        <f t="shared" si="3"/>
        <v>27</v>
      </c>
      <c r="M28" t="s">
        <v>283</v>
      </c>
    </row>
    <row r="29" spans="1:13" x14ac:dyDescent="0.3">
      <c r="A29">
        <v>28</v>
      </c>
      <c r="B29" t="s">
        <v>284</v>
      </c>
      <c r="C29" t="s">
        <v>32</v>
      </c>
      <c r="D29">
        <v>0</v>
      </c>
      <c r="E29" t="s">
        <v>32</v>
      </c>
      <c r="F29">
        <f t="shared" si="0"/>
        <v>4</v>
      </c>
      <c r="G29">
        <v>125</v>
      </c>
      <c r="H29" t="str">
        <f t="shared" si="1"/>
        <v>Correct</v>
      </c>
      <c r="I29">
        <f t="shared" si="2"/>
        <v>0</v>
      </c>
      <c r="J29">
        <v>28</v>
      </c>
      <c r="K29" t="str">
        <f t="shared" si="3"/>
        <v/>
      </c>
      <c r="L29">
        <v>28</v>
      </c>
      <c r="M29" t="s">
        <v>285</v>
      </c>
    </row>
    <row r="30" spans="1:13" x14ac:dyDescent="0.3">
      <c r="A30">
        <v>29</v>
      </c>
      <c r="B30" t="s">
        <v>286</v>
      </c>
      <c r="C30" t="s">
        <v>32</v>
      </c>
      <c r="D30">
        <v>3.2000000000000001E-2</v>
      </c>
      <c r="E30" t="s">
        <v>26</v>
      </c>
      <c r="F30">
        <f t="shared" si="0"/>
        <v>-1</v>
      </c>
      <c r="G30">
        <v>98</v>
      </c>
      <c r="H30" t="str">
        <f t="shared" si="1"/>
        <v>Incorrect</v>
      </c>
      <c r="I30">
        <f t="shared" si="2"/>
        <v>1</v>
      </c>
      <c r="J30">
        <v>29</v>
      </c>
      <c r="K30">
        <f t="shared" si="3"/>
        <v>29</v>
      </c>
      <c r="M30" t="s">
        <v>287</v>
      </c>
    </row>
    <row r="31" spans="1:13" x14ac:dyDescent="0.3">
      <c r="A31">
        <v>30</v>
      </c>
      <c r="B31" t="s">
        <v>288</v>
      </c>
      <c r="C31" t="s">
        <v>26</v>
      </c>
      <c r="D31" t="s">
        <v>289</v>
      </c>
      <c r="E31" t="s">
        <v>26</v>
      </c>
      <c r="F31">
        <f t="shared" si="0"/>
        <v>4</v>
      </c>
      <c r="G31">
        <v>124</v>
      </c>
      <c r="H31" t="str">
        <f t="shared" si="1"/>
        <v>Correct</v>
      </c>
      <c r="I31">
        <f t="shared" si="2"/>
        <v>0</v>
      </c>
      <c r="J31">
        <v>30</v>
      </c>
      <c r="K31" t="str">
        <f t="shared" si="3"/>
        <v/>
      </c>
    </row>
    <row r="32" spans="1:13" x14ac:dyDescent="0.3">
      <c r="F32">
        <f>SUM(F2:F31)</f>
        <v>90</v>
      </c>
      <c r="I32">
        <f>SUM(I2:I31)</f>
        <v>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2"/>
  <sheetViews>
    <sheetView workbookViewId="0"/>
  </sheetViews>
  <sheetFormatPr defaultRowHeight="14.4" x14ac:dyDescent="0.3"/>
  <cols>
    <col min="1" max="1" width="15" customWidth="1"/>
    <col min="2" max="2" width="50" customWidth="1"/>
    <col min="3" max="3" width="8"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290</v>
      </c>
      <c r="D1" t="s">
        <v>12</v>
      </c>
      <c r="E1" t="s">
        <v>13</v>
      </c>
      <c r="F1" t="s">
        <v>14</v>
      </c>
      <c r="G1" t="s">
        <v>15</v>
      </c>
      <c r="H1" t="s">
        <v>16</v>
      </c>
      <c r="I1" t="s">
        <v>17</v>
      </c>
      <c r="J1" t="s">
        <v>18</v>
      </c>
      <c r="K1" t="s">
        <v>19</v>
      </c>
      <c r="L1" t="s">
        <v>20</v>
      </c>
      <c r="M1" t="s">
        <v>21</v>
      </c>
    </row>
    <row r="2" spans="1:13" x14ac:dyDescent="0.3">
      <c r="A2">
        <v>1</v>
      </c>
      <c r="B2" t="s">
        <v>291</v>
      </c>
      <c r="C2" t="s">
        <v>23</v>
      </c>
      <c r="D2" t="s">
        <v>292</v>
      </c>
      <c r="E2" t="s">
        <v>23</v>
      </c>
      <c r="F2">
        <f t="shared" ref="F2:F31" si="0">IF(C2&lt;&gt;E2,-1,4)</f>
        <v>4</v>
      </c>
      <c r="G2">
        <v>480</v>
      </c>
      <c r="H2" t="str">
        <f t="shared" ref="H2:H31" si="1">IF(F2=4,"Correct",IF(F2=0,"Unattempted","Incorrect"))</f>
        <v>Correct</v>
      </c>
      <c r="I2">
        <f t="shared" ref="I2:I31" si="2">COUNTIF(H2,"=Unattempted") + COUNTIF(H2,"=Incorrect")</f>
        <v>0</v>
      </c>
      <c r="J2">
        <v>1</v>
      </c>
      <c r="K2" t="str">
        <f t="shared" ref="K2:K31" si="3">IF(I2,J2,"")</f>
        <v/>
      </c>
      <c r="L2">
        <v>1</v>
      </c>
      <c r="M2" t="s">
        <v>293</v>
      </c>
    </row>
    <row r="3" spans="1:13" x14ac:dyDescent="0.3">
      <c r="A3">
        <v>2</v>
      </c>
      <c r="B3" t="s">
        <v>294</v>
      </c>
      <c r="C3" t="s">
        <v>26</v>
      </c>
      <c r="D3" t="s">
        <v>295</v>
      </c>
      <c r="E3" t="s">
        <v>32</v>
      </c>
      <c r="F3">
        <f t="shared" si="0"/>
        <v>-1</v>
      </c>
      <c r="G3">
        <v>732</v>
      </c>
      <c r="H3" t="str">
        <f t="shared" si="1"/>
        <v>Incorrect</v>
      </c>
      <c r="I3">
        <f t="shared" si="2"/>
        <v>1</v>
      </c>
      <c r="J3">
        <v>2</v>
      </c>
      <c r="K3">
        <f t="shared" si="3"/>
        <v>2</v>
      </c>
      <c r="L3">
        <v>2</v>
      </c>
      <c r="M3" t="s">
        <v>296</v>
      </c>
    </row>
    <row r="4" spans="1:13" x14ac:dyDescent="0.3">
      <c r="A4">
        <v>3</v>
      </c>
      <c r="B4" t="s">
        <v>297</v>
      </c>
      <c r="C4" t="s">
        <v>32</v>
      </c>
      <c r="D4">
        <v>1800</v>
      </c>
      <c r="E4" t="s">
        <v>26</v>
      </c>
      <c r="F4">
        <f t="shared" si="0"/>
        <v>-1</v>
      </c>
      <c r="G4">
        <v>423</v>
      </c>
      <c r="H4" t="str">
        <f t="shared" si="1"/>
        <v>Incorrect</v>
      </c>
      <c r="I4">
        <f t="shared" si="2"/>
        <v>1</v>
      </c>
      <c r="J4">
        <v>3</v>
      </c>
      <c r="K4">
        <f t="shared" si="3"/>
        <v>3</v>
      </c>
      <c r="L4">
        <v>3</v>
      </c>
      <c r="M4" t="s">
        <v>298</v>
      </c>
    </row>
    <row r="5" spans="1:13" x14ac:dyDescent="0.3">
      <c r="A5">
        <v>4</v>
      </c>
      <c r="B5" t="s">
        <v>299</v>
      </c>
      <c r="C5" t="s">
        <v>29</v>
      </c>
      <c r="D5" t="s">
        <v>300</v>
      </c>
      <c r="E5" t="s">
        <v>29</v>
      </c>
      <c r="F5">
        <f t="shared" si="0"/>
        <v>4</v>
      </c>
      <c r="G5">
        <v>121</v>
      </c>
      <c r="H5" t="str">
        <f t="shared" si="1"/>
        <v>Correct</v>
      </c>
      <c r="I5">
        <f t="shared" si="2"/>
        <v>0</v>
      </c>
      <c r="J5">
        <v>4</v>
      </c>
      <c r="K5" t="str">
        <f t="shared" si="3"/>
        <v/>
      </c>
    </row>
    <row r="6" spans="1:13" x14ac:dyDescent="0.3">
      <c r="A6">
        <v>5</v>
      </c>
      <c r="B6" t="s">
        <v>301</v>
      </c>
      <c r="C6" t="s">
        <v>29</v>
      </c>
      <c r="D6" t="s">
        <v>302</v>
      </c>
      <c r="E6" t="s">
        <v>29</v>
      </c>
      <c r="F6">
        <f t="shared" si="0"/>
        <v>4</v>
      </c>
      <c r="G6">
        <v>66</v>
      </c>
      <c r="H6" t="str">
        <f t="shared" si="1"/>
        <v>Correct</v>
      </c>
      <c r="I6">
        <f t="shared" si="2"/>
        <v>0</v>
      </c>
      <c r="J6">
        <v>5</v>
      </c>
      <c r="K6" t="str">
        <f t="shared" si="3"/>
        <v/>
      </c>
    </row>
    <row r="7" spans="1:13" x14ac:dyDescent="0.3">
      <c r="A7">
        <v>6</v>
      </c>
      <c r="B7" t="s">
        <v>303</v>
      </c>
      <c r="C7" t="s">
        <v>29</v>
      </c>
      <c r="D7" t="s">
        <v>304</v>
      </c>
      <c r="E7" t="s">
        <v>29</v>
      </c>
      <c r="F7">
        <f t="shared" si="0"/>
        <v>4</v>
      </c>
      <c r="G7">
        <v>174</v>
      </c>
      <c r="H7" t="str">
        <f t="shared" si="1"/>
        <v>Correct</v>
      </c>
      <c r="I7">
        <f t="shared" si="2"/>
        <v>0</v>
      </c>
      <c r="J7">
        <v>6</v>
      </c>
      <c r="K7" t="str">
        <f t="shared" si="3"/>
        <v/>
      </c>
    </row>
    <row r="8" spans="1:13" x14ac:dyDescent="0.3">
      <c r="A8">
        <v>7</v>
      </c>
      <c r="B8" t="s">
        <v>305</v>
      </c>
      <c r="C8" t="s">
        <v>23</v>
      </c>
      <c r="D8" t="s">
        <v>306</v>
      </c>
      <c r="E8" t="s">
        <v>23</v>
      </c>
      <c r="F8">
        <f t="shared" si="0"/>
        <v>4</v>
      </c>
      <c r="G8">
        <v>191</v>
      </c>
      <c r="H8" t="str">
        <f t="shared" si="1"/>
        <v>Correct</v>
      </c>
      <c r="I8">
        <f t="shared" si="2"/>
        <v>0</v>
      </c>
      <c r="J8">
        <v>7</v>
      </c>
      <c r="K8" t="str">
        <f t="shared" si="3"/>
        <v/>
      </c>
      <c r="L8">
        <v>7</v>
      </c>
      <c r="M8" t="s">
        <v>307</v>
      </c>
    </row>
    <row r="9" spans="1:13" x14ac:dyDescent="0.3">
      <c r="A9">
        <v>8</v>
      </c>
      <c r="B9" t="s">
        <v>308</v>
      </c>
      <c r="C9" t="s">
        <v>29</v>
      </c>
      <c r="D9">
        <v>60</v>
      </c>
      <c r="E9" t="s">
        <v>29</v>
      </c>
      <c r="F9">
        <f t="shared" si="0"/>
        <v>4</v>
      </c>
      <c r="G9">
        <v>386</v>
      </c>
      <c r="H9" t="str">
        <f t="shared" si="1"/>
        <v>Correct</v>
      </c>
      <c r="I9">
        <f t="shared" si="2"/>
        <v>0</v>
      </c>
      <c r="J9">
        <v>8</v>
      </c>
      <c r="K9" t="str">
        <f t="shared" si="3"/>
        <v/>
      </c>
    </row>
    <row r="10" spans="1:13" x14ac:dyDescent="0.3">
      <c r="A10">
        <v>9</v>
      </c>
      <c r="B10" t="s">
        <v>309</v>
      </c>
      <c r="C10" t="s">
        <v>32</v>
      </c>
      <c r="D10" t="s">
        <v>310</v>
      </c>
      <c r="E10" t="s">
        <v>32</v>
      </c>
      <c r="F10">
        <f t="shared" si="0"/>
        <v>4</v>
      </c>
      <c r="G10">
        <v>3</v>
      </c>
      <c r="H10" t="str">
        <f t="shared" si="1"/>
        <v>Correct</v>
      </c>
      <c r="I10">
        <f t="shared" si="2"/>
        <v>0</v>
      </c>
      <c r="J10">
        <v>9</v>
      </c>
      <c r="K10" t="str">
        <f t="shared" si="3"/>
        <v/>
      </c>
    </row>
    <row r="11" spans="1:13" x14ac:dyDescent="0.3">
      <c r="A11">
        <v>10</v>
      </c>
      <c r="B11" t="s">
        <v>311</v>
      </c>
      <c r="C11" t="s">
        <v>29</v>
      </c>
      <c r="D11" t="s">
        <v>312</v>
      </c>
      <c r="E11" t="s">
        <v>26</v>
      </c>
      <c r="F11">
        <f t="shared" si="0"/>
        <v>-1</v>
      </c>
      <c r="G11">
        <v>829</v>
      </c>
      <c r="H11" t="str">
        <f t="shared" si="1"/>
        <v>Incorrect</v>
      </c>
      <c r="I11">
        <f t="shared" si="2"/>
        <v>1</v>
      </c>
      <c r="J11">
        <v>10</v>
      </c>
      <c r="K11">
        <f t="shared" si="3"/>
        <v>10</v>
      </c>
      <c r="L11">
        <v>10</v>
      </c>
      <c r="M11" t="s">
        <v>313</v>
      </c>
    </row>
    <row r="12" spans="1:13" x14ac:dyDescent="0.3">
      <c r="A12">
        <v>11</v>
      </c>
      <c r="B12" t="s">
        <v>314</v>
      </c>
      <c r="C12" t="s">
        <v>26</v>
      </c>
      <c r="D12" t="s">
        <v>315</v>
      </c>
      <c r="E12" t="s">
        <v>26</v>
      </c>
      <c r="F12">
        <f t="shared" si="0"/>
        <v>4</v>
      </c>
      <c r="G12">
        <v>287</v>
      </c>
      <c r="H12" t="str">
        <f t="shared" si="1"/>
        <v>Correct</v>
      </c>
      <c r="I12">
        <f t="shared" si="2"/>
        <v>0</v>
      </c>
      <c r="J12">
        <v>11</v>
      </c>
      <c r="K12" t="str">
        <f t="shared" si="3"/>
        <v/>
      </c>
    </row>
    <row r="13" spans="1:13" x14ac:dyDescent="0.3">
      <c r="A13">
        <v>12</v>
      </c>
      <c r="B13" t="s">
        <v>316</v>
      </c>
      <c r="C13" t="s">
        <v>32</v>
      </c>
      <c r="D13" t="s">
        <v>317</v>
      </c>
      <c r="E13" t="s">
        <v>32</v>
      </c>
      <c r="F13">
        <f t="shared" si="0"/>
        <v>4</v>
      </c>
      <c r="G13">
        <v>217</v>
      </c>
      <c r="H13" t="str">
        <f t="shared" si="1"/>
        <v>Correct</v>
      </c>
      <c r="I13">
        <f t="shared" si="2"/>
        <v>0</v>
      </c>
      <c r="J13">
        <v>12</v>
      </c>
      <c r="K13" t="str">
        <f t="shared" si="3"/>
        <v/>
      </c>
      <c r="L13">
        <v>12</v>
      </c>
      <c r="M13" t="s">
        <v>318</v>
      </c>
    </row>
    <row r="14" spans="1:13" x14ac:dyDescent="0.3">
      <c r="A14">
        <v>13</v>
      </c>
      <c r="B14" t="s">
        <v>319</v>
      </c>
      <c r="C14" t="s">
        <v>29</v>
      </c>
      <c r="D14" t="s">
        <v>320</v>
      </c>
      <c r="E14" t="s">
        <v>29</v>
      </c>
      <c r="F14">
        <f t="shared" si="0"/>
        <v>4</v>
      </c>
      <c r="G14">
        <v>621</v>
      </c>
      <c r="H14" t="str">
        <f t="shared" si="1"/>
        <v>Correct</v>
      </c>
      <c r="I14">
        <f t="shared" si="2"/>
        <v>0</v>
      </c>
      <c r="J14">
        <v>13</v>
      </c>
      <c r="K14" t="str">
        <f t="shared" si="3"/>
        <v/>
      </c>
      <c r="L14">
        <v>13</v>
      </c>
    </row>
    <row r="15" spans="1:13" x14ac:dyDescent="0.3">
      <c r="A15">
        <v>14</v>
      </c>
      <c r="B15" t="s">
        <v>321</v>
      </c>
      <c r="C15" t="s">
        <v>23</v>
      </c>
      <c r="D15" t="s">
        <v>322</v>
      </c>
      <c r="E15" t="s">
        <v>23</v>
      </c>
      <c r="F15">
        <f t="shared" si="0"/>
        <v>4</v>
      </c>
      <c r="G15">
        <v>201</v>
      </c>
      <c r="H15" t="str">
        <f t="shared" si="1"/>
        <v>Correct</v>
      </c>
      <c r="I15">
        <f t="shared" si="2"/>
        <v>0</v>
      </c>
      <c r="J15">
        <v>14</v>
      </c>
      <c r="K15" t="str">
        <f t="shared" si="3"/>
        <v/>
      </c>
    </row>
    <row r="16" spans="1:13" x14ac:dyDescent="0.3">
      <c r="A16">
        <v>15</v>
      </c>
      <c r="B16" t="s">
        <v>323</v>
      </c>
      <c r="C16" t="s">
        <v>32</v>
      </c>
      <c r="D16" t="s">
        <v>322</v>
      </c>
      <c r="E16" t="s">
        <v>32</v>
      </c>
      <c r="F16">
        <f t="shared" si="0"/>
        <v>4</v>
      </c>
      <c r="G16">
        <v>283</v>
      </c>
      <c r="H16" t="str">
        <f t="shared" si="1"/>
        <v>Correct</v>
      </c>
      <c r="I16">
        <f t="shared" si="2"/>
        <v>0</v>
      </c>
      <c r="J16">
        <v>15</v>
      </c>
      <c r="K16" t="str">
        <f t="shared" si="3"/>
        <v/>
      </c>
      <c r="L16">
        <v>15</v>
      </c>
      <c r="M16" t="s">
        <v>324</v>
      </c>
    </row>
    <row r="17" spans="1:13" x14ac:dyDescent="0.3">
      <c r="A17">
        <v>16</v>
      </c>
      <c r="B17" t="s">
        <v>325</v>
      </c>
      <c r="C17" t="s">
        <v>32</v>
      </c>
      <c r="D17" t="s">
        <v>326</v>
      </c>
      <c r="E17" t="s">
        <v>26</v>
      </c>
      <c r="F17">
        <f t="shared" si="0"/>
        <v>-1</v>
      </c>
      <c r="G17">
        <v>103</v>
      </c>
      <c r="H17" t="str">
        <f t="shared" si="1"/>
        <v>Incorrect</v>
      </c>
      <c r="I17">
        <f t="shared" si="2"/>
        <v>1</v>
      </c>
      <c r="J17">
        <v>16</v>
      </c>
      <c r="K17">
        <f t="shared" si="3"/>
        <v>16</v>
      </c>
      <c r="M17" t="s">
        <v>327</v>
      </c>
    </row>
    <row r="18" spans="1:13" x14ac:dyDescent="0.3">
      <c r="A18">
        <v>17</v>
      </c>
      <c r="B18" t="s">
        <v>328</v>
      </c>
      <c r="C18" t="s">
        <v>29</v>
      </c>
      <c r="D18" t="s">
        <v>329</v>
      </c>
      <c r="E18" t="s">
        <v>29</v>
      </c>
      <c r="F18">
        <f t="shared" si="0"/>
        <v>4</v>
      </c>
      <c r="G18">
        <v>75</v>
      </c>
      <c r="H18" t="str">
        <f t="shared" si="1"/>
        <v>Correct</v>
      </c>
      <c r="I18">
        <f t="shared" si="2"/>
        <v>0</v>
      </c>
      <c r="J18">
        <v>17</v>
      </c>
      <c r="K18" t="str">
        <f t="shared" si="3"/>
        <v/>
      </c>
    </row>
    <row r="19" spans="1:13" x14ac:dyDescent="0.3">
      <c r="A19">
        <v>18</v>
      </c>
      <c r="B19" t="s">
        <v>330</v>
      </c>
      <c r="C19" t="s">
        <v>23</v>
      </c>
      <c r="D19" t="s">
        <v>331</v>
      </c>
      <c r="E19" t="s">
        <v>23</v>
      </c>
      <c r="F19">
        <f t="shared" si="0"/>
        <v>4</v>
      </c>
      <c r="G19">
        <v>88</v>
      </c>
      <c r="H19" t="str">
        <f t="shared" si="1"/>
        <v>Correct</v>
      </c>
      <c r="I19">
        <f t="shared" si="2"/>
        <v>0</v>
      </c>
      <c r="J19">
        <v>18</v>
      </c>
      <c r="K19" t="str">
        <f t="shared" si="3"/>
        <v/>
      </c>
    </row>
    <row r="20" spans="1:13" x14ac:dyDescent="0.3">
      <c r="A20">
        <v>19</v>
      </c>
      <c r="B20" t="s">
        <v>332</v>
      </c>
      <c r="C20" t="s">
        <v>26</v>
      </c>
      <c r="D20" t="s">
        <v>333</v>
      </c>
      <c r="E20" t="s">
        <v>26</v>
      </c>
      <c r="F20">
        <f t="shared" si="0"/>
        <v>4</v>
      </c>
      <c r="G20">
        <v>318</v>
      </c>
      <c r="H20" t="str">
        <f t="shared" si="1"/>
        <v>Correct</v>
      </c>
      <c r="I20">
        <f t="shared" si="2"/>
        <v>0</v>
      </c>
      <c r="J20">
        <v>19</v>
      </c>
      <c r="K20" t="str">
        <f t="shared" si="3"/>
        <v/>
      </c>
    </row>
    <row r="21" spans="1:13" x14ac:dyDescent="0.3">
      <c r="A21">
        <v>20</v>
      </c>
      <c r="B21" t="s">
        <v>334</v>
      </c>
      <c r="C21" t="s">
        <v>32</v>
      </c>
      <c r="D21" t="s">
        <v>335</v>
      </c>
      <c r="E21" t="s">
        <v>32</v>
      </c>
      <c r="F21">
        <f t="shared" si="0"/>
        <v>4</v>
      </c>
      <c r="G21">
        <v>191</v>
      </c>
      <c r="H21" t="str">
        <f t="shared" si="1"/>
        <v>Correct</v>
      </c>
      <c r="I21">
        <f t="shared" si="2"/>
        <v>0</v>
      </c>
      <c r="J21">
        <v>20</v>
      </c>
      <c r="K21" t="str">
        <f t="shared" si="3"/>
        <v/>
      </c>
    </row>
    <row r="22" spans="1:13" x14ac:dyDescent="0.3">
      <c r="A22">
        <v>21</v>
      </c>
      <c r="B22" t="s">
        <v>336</v>
      </c>
      <c r="C22" t="s">
        <v>26</v>
      </c>
      <c r="D22" t="s">
        <v>337</v>
      </c>
      <c r="E22" t="s">
        <v>26</v>
      </c>
      <c r="F22">
        <f t="shared" si="0"/>
        <v>4</v>
      </c>
      <c r="G22">
        <v>86</v>
      </c>
      <c r="H22" t="str">
        <f t="shared" si="1"/>
        <v>Correct</v>
      </c>
      <c r="I22">
        <f t="shared" si="2"/>
        <v>0</v>
      </c>
      <c r="J22">
        <v>21</v>
      </c>
      <c r="K22" t="str">
        <f t="shared" si="3"/>
        <v/>
      </c>
    </row>
    <row r="23" spans="1:13" x14ac:dyDescent="0.3">
      <c r="A23">
        <v>22</v>
      </c>
      <c r="B23" t="s">
        <v>338</v>
      </c>
      <c r="C23" t="s">
        <v>32</v>
      </c>
      <c r="D23">
        <v>0</v>
      </c>
      <c r="E23" t="s">
        <v>32</v>
      </c>
      <c r="F23">
        <f t="shared" si="0"/>
        <v>4</v>
      </c>
      <c r="G23">
        <v>201</v>
      </c>
      <c r="H23" t="str">
        <f t="shared" si="1"/>
        <v>Correct</v>
      </c>
      <c r="I23">
        <f t="shared" si="2"/>
        <v>0</v>
      </c>
      <c r="J23">
        <v>22</v>
      </c>
      <c r="K23" t="str">
        <f t="shared" si="3"/>
        <v/>
      </c>
    </row>
    <row r="24" spans="1:13" x14ac:dyDescent="0.3">
      <c r="A24">
        <v>23</v>
      </c>
      <c r="B24" t="s">
        <v>339</v>
      </c>
      <c r="C24" t="s">
        <v>26</v>
      </c>
      <c r="D24" t="s">
        <v>340</v>
      </c>
      <c r="E24" t="s">
        <v>26</v>
      </c>
      <c r="F24">
        <f t="shared" si="0"/>
        <v>4</v>
      </c>
      <c r="G24">
        <v>88</v>
      </c>
      <c r="H24" t="str">
        <f t="shared" si="1"/>
        <v>Correct</v>
      </c>
      <c r="I24">
        <f t="shared" si="2"/>
        <v>0</v>
      </c>
      <c r="J24">
        <v>23</v>
      </c>
      <c r="K24" t="str">
        <f t="shared" si="3"/>
        <v/>
      </c>
    </row>
    <row r="25" spans="1:13" x14ac:dyDescent="0.3">
      <c r="A25">
        <v>24</v>
      </c>
      <c r="B25" t="s">
        <v>341</v>
      </c>
      <c r="C25" t="s">
        <v>29</v>
      </c>
      <c r="D25" t="s">
        <v>342</v>
      </c>
      <c r="E25" t="s">
        <v>29</v>
      </c>
      <c r="F25">
        <f t="shared" si="0"/>
        <v>4</v>
      </c>
      <c r="G25">
        <v>15</v>
      </c>
      <c r="H25" t="str">
        <f t="shared" si="1"/>
        <v>Correct</v>
      </c>
      <c r="I25">
        <f t="shared" si="2"/>
        <v>0</v>
      </c>
      <c r="J25">
        <v>24</v>
      </c>
      <c r="K25" t="str">
        <f t="shared" si="3"/>
        <v/>
      </c>
    </row>
    <row r="26" spans="1:13" x14ac:dyDescent="0.3">
      <c r="A26">
        <v>25</v>
      </c>
      <c r="B26" t="s">
        <v>343</v>
      </c>
      <c r="C26" t="s">
        <v>23</v>
      </c>
      <c r="D26" t="s">
        <v>344</v>
      </c>
      <c r="E26" t="s">
        <v>32</v>
      </c>
      <c r="F26">
        <f t="shared" si="0"/>
        <v>-1</v>
      </c>
      <c r="G26">
        <v>214</v>
      </c>
      <c r="H26" t="str">
        <f t="shared" si="1"/>
        <v>Incorrect</v>
      </c>
      <c r="I26">
        <f t="shared" si="2"/>
        <v>1</v>
      </c>
      <c r="J26">
        <v>25</v>
      </c>
      <c r="K26">
        <f t="shared" si="3"/>
        <v>25</v>
      </c>
      <c r="M26" t="s">
        <v>345</v>
      </c>
    </row>
    <row r="27" spans="1:13" x14ac:dyDescent="0.3">
      <c r="A27">
        <v>26</v>
      </c>
      <c r="B27" t="s">
        <v>346</v>
      </c>
      <c r="C27" t="s">
        <v>26</v>
      </c>
      <c r="D27" t="s">
        <v>347</v>
      </c>
      <c r="E27" t="s">
        <v>26</v>
      </c>
      <c r="F27">
        <f t="shared" si="0"/>
        <v>4</v>
      </c>
      <c r="G27">
        <v>178</v>
      </c>
      <c r="H27" t="str">
        <f t="shared" si="1"/>
        <v>Correct</v>
      </c>
      <c r="I27">
        <f t="shared" si="2"/>
        <v>0</v>
      </c>
      <c r="J27">
        <v>26</v>
      </c>
      <c r="K27" t="str">
        <f t="shared" si="3"/>
        <v/>
      </c>
    </row>
    <row r="28" spans="1:13" x14ac:dyDescent="0.3">
      <c r="A28">
        <v>27</v>
      </c>
      <c r="B28" t="s">
        <v>348</v>
      </c>
      <c r="C28" t="s">
        <v>23</v>
      </c>
      <c r="D28" t="s">
        <v>349</v>
      </c>
      <c r="E28" t="s">
        <v>23</v>
      </c>
      <c r="F28">
        <f t="shared" si="0"/>
        <v>4</v>
      </c>
      <c r="G28">
        <v>112</v>
      </c>
      <c r="H28" t="str">
        <f t="shared" si="1"/>
        <v>Correct</v>
      </c>
      <c r="I28">
        <f t="shared" si="2"/>
        <v>0</v>
      </c>
      <c r="J28">
        <v>27</v>
      </c>
      <c r="K28" t="str">
        <f t="shared" si="3"/>
        <v/>
      </c>
    </row>
    <row r="29" spans="1:13" x14ac:dyDescent="0.3">
      <c r="A29">
        <v>28</v>
      </c>
      <c r="B29" t="s">
        <v>350</v>
      </c>
      <c r="C29" t="s">
        <v>29</v>
      </c>
      <c r="D29" t="s">
        <v>351</v>
      </c>
      <c r="E29" t="s">
        <v>29</v>
      </c>
      <c r="F29">
        <f t="shared" si="0"/>
        <v>4</v>
      </c>
      <c r="G29">
        <v>103</v>
      </c>
      <c r="H29" t="str">
        <f t="shared" si="1"/>
        <v>Correct</v>
      </c>
      <c r="I29">
        <f t="shared" si="2"/>
        <v>0</v>
      </c>
      <c r="J29">
        <v>28</v>
      </c>
      <c r="K29" t="str">
        <f t="shared" si="3"/>
        <v/>
      </c>
    </row>
    <row r="30" spans="1:13" x14ac:dyDescent="0.3">
      <c r="A30">
        <v>29</v>
      </c>
      <c r="B30" t="s">
        <v>352</v>
      </c>
      <c r="C30" t="s">
        <v>32</v>
      </c>
      <c r="D30">
        <v>84</v>
      </c>
      <c r="E30" t="s">
        <v>23</v>
      </c>
      <c r="F30">
        <f t="shared" si="0"/>
        <v>-1</v>
      </c>
      <c r="G30">
        <v>130</v>
      </c>
      <c r="H30" t="str">
        <f t="shared" si="1"/>
        <v>Incorrect</v>
      </c>
      <c r="I30">
        <f t="shared" si="2"/>
        <v>1</v>
      </c>
      <c r="J30">
        <v>29</v>
      </c>
      <c r="K30">
        <f t="shared" si="3"/>
        <v>29</v>
      </c>
      <c r="L30">
        <v>29</v>
      </c>
      <c r="M30" t="s">
        <v>353</v>
      </c>
    </row>
    <row r="31" spans="1:13" x14ac:dyDescent="0.3">
      <c r="A31">
        <v>30</v>
      </c>
      <c r="B31" t="s">
        <v>354</v>
      </c>
      <c r="C31" t="s">
        <v>26</v>
      </c>
      <c r="D31" t="s">
        <v>355</v>
      </c>
      <c r="E31" t="s">
        <v>26</v>
      </c>
      <c r="F31">
        <f t="shared" si="0"/>
        <v>4</v>
      </c>
      <c r="G31">
        <v>284</v>
      </c>
      <c r="H31" t="str">
        <f t="shared" si="1"/>
        <v>Correct</v>
      </c>
      <c r="I31">
        <f t="shared" si="2"/>
        <v>0</v>
      </c>
      <c r="J31">
        <v>30</v>
      </c>
      <c r="K31" t="str">
        <f t="shared" si="3"/>
        <v/>
      </c>
      <c r="L31">
        <v>30</v>
      </c>
      <c r="M31" t="s">
        <v>356</v>
      </c>
    </row>
    <row r="32" spans="1:13" x14ac:dyDescent="0.3">
      <c r="F32">
        <f>SUM(F2:F31)</f>
        <v>90</v>
      </c>
      <c r="I32">
        <f>SUM(I2:I31)</f>
        <v>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2"/>
  <sheetViews>
    <sheetView workbookViewId="0"/>
  </sheetViews>
  <sheetFormatPr defaultRowHeight="14.4" x14ac:dyDescent="0.3"/>
  <cols>
    <col min="1" max="1" width="15" customWidth="1"/>
    <col min="2" max="2" width="50" customWidth="1"/>
    <col min="3" max="3" width="8"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290</v>
      </c>
      <c r="D1" t="s">
        <v>12</v>
      </c>
      <c r="E1" t="s">
        <v>13</v>
      </c>
      <c r="F1" t="s">
        <v>14</v>
      </c>
      <c r="G1" t="s">
        <v>15</v>
      </c>
      <c r="H1" t="s">
        <v>16</v>
      </c>
      <c r="I1" t="s">
        <v>17</v>
      </c>
      <c r="J1" t="s">
        <v>18</v>
      </c>
      <c r="K1" t="s">
        <v>19</v>
      </c>
      <c r="L1" t="s">
        <v>20</v>
      </c>
      <c r="M1" t="s">
        <v>21</v>
      </c>
    </row>
    <row r="2" spans="1:13" x14ac:dyDescent="0.3">
      <c r="A2">
        <v>1</v>
      </c>
      <c r="B2" t="s">
        <v>357</v>
      </c>
      <c r="C2" t="s">
        <v>26</v>
      </c>
      <c r="D2" t="s">
        <v>358</v>
      </c>
      <c r="E2" t="s">
        <v>26</v>
      </c>
      <c r="F2">
        <f t="shared" ref="F2:F31" si="0">IF(C2&lt;&gt;E2,-1,4)</f>
        <v>4</v>
      </c>
      <c r="G2">
        <v>44</v>
      </c>
      <c r="H2" t="str">
        <f t="shared" ref="H2:H31" si="1">IF(F2=4,"Correct",IF(F2=0,"Unattempted","Incorrect"))</f>
        <v>Correct</v>
      </c>
      <c r="I2">
        <f t="shared" ref="I2:I31" si="2">COUNTIF(H2,"=Unattempted") + COUNTIF(H2,"=Incorrect")</f>
        <v>0</v>
      </c>
      <c r="J2">
        <v>1</v>
      </c>
      <c r="K2" t="str">
        <f t="shared" ref="K2:K31" si="3">IF(I2,J2,"")</f>
        <v/>
      </c>
    </row>
    <row r="3" spans="1:13" x14ac:dyDescent="0.3">
      <c r="A3">
        <v>2</v>
      </c>
      <c r="B3" t="s">
        <v>359</v>
      </c>
      <c r="C3" t="s">
        <v>23</v>
      </c>
      <c r="D3">
        <v>2550</v>
      </c>
      <c r="E3" t="s">
        <v>23</v>
      </c>
      <c r="F3">
        <f t="shared" si="0"/>
        <v>4</v>
      </c>
      <c r="G3">
        <v>408</v>
      </c>
      <c r="H3" t="str">
        <f t="shared" si="1"/>
        <v>Correct</v>
      </c>
      <c r="I3">
        <f t="shared" si="2"/>
        <v>0</v>
      </c>
      <c r="J3">
        <v>2</v>
      </c>
      <c r="K3" t="str">
        <f t="shared" si="3"/>
        <v/>
      </c>
      <c r="L3">
        <v>2</v>
      </c>
      <c r="M3" t="s">
        <v>360</v>
      </c>
    </row>
    <row r="4" spans="1:13" x14ac:dyDescent="0.3">
      <c r="A4">
        <v>3</v>
      </c>
      <c r="B4" t="s">
        <v>361</v>
      </c>
      <c r="C4" t="s">
        <v>26</v>
      </c>
      <c r="D4" t="s">
        <v>362</v>
      </c>
      <c r="E4" t="s">
        <v>26</v>
      </c>
      <c r="F4">
        <f t="shared" si="0"/>
        <v>4</v>
      </c>
      <c r="G4">
        <v>497</v>
      </c>
      <c r="H4" t="str">
        <f t="shared" si="1"/>
        <v>Correct</v>
      </c>
      <c r="I4">
        <f t="shared" si="2"/>
        <v>0</v>
      </c>
      <c r="J4">
        <v>3</v>
      </c>
      <c r="K4" t="str">
        <f t="shared" si="3"/>
        <v/>
      </c>
      <c r="L4">
        <v>3</v>
      </c>
      <c r="M4" t="s">
        <v>363</v>
      </c>
    </row>
    <row r="5" spans="1:13" x14ac:dyDescent="0.3">
      <c r="A5">
        <v>4</v>
      </c>
      <c r="B5" t="s">
        <v>364</v>
      </c>
      <c r="C5" t="s">
        <v>29</v>
      </c>
      <c r="D5" t="s">
        <v>365</v>
      </c>
      <c r="E5" t="s">
        <v>23</v>
      </c>
      <c r="F5">
        <f t="shared" si="0"/>
        <v>-1</v>
      </c>
      <c r="G5">
        <v>239</v>
      </c>
      <c r="H5" t="str">
        <f t="shared" si="1"/>
        <v>Incorrect</v>
      </c>
      <c r="I5">
        <f t="shared" si="2"/>
        <v>1</v>
      </c>
      <c r="J5">
        <v>4</v>
      </c>
      <c r="K5">
        <f t="shared" si="3"/>
        <v>4</v>
      </c>
      <c r="L5">
        <v>4</v>
      </c>
      <c r="M5" t="s">
        <v>366</v>
      </c>
    </row>
    <row r="6" spans="1:13" x14ac:dyDescent="0.3">
      <c r="A6">
        <v>5</v>
      </c>
      <c r="B6" t="s">
        <v>367</v>
      </c>
      <c r="C6" t="s">
        <v>32</v>
      </c>
      <c r="D6" t="s">
        <v>368</v>
      </c>
      <c r="E6" t="s">
        <v>26</v>
      </c>
      <c r="F6">
        <f t="shared" si="0"/>
        <v>-1</v>
      </c>
      <c r="G6">
        <v>220</v>
      </c>
      <c r="H6" t="str">
        <f t="shared" si="1"/>
        <v>Incorrect</v>
      </c>
      <c r="I6">
        <f t="shared" si="2"/>
        <v>1</v>
      </c>
      <c r="J6">
        <v>5</v>
      </c>
      <c r="K6">
        <f t="shared" si="3"/>
        <v>5</v>
      </c>
      <c r="M6" t="s">
        <v>369</v>
      </c>
    </row>
    <row r="7" spans="1:13" x14ac:dyDescent="0.3">
      <c r="A7">
        <v>6</v>
      </c>
      <c r="B7" t="s">
        <v>370</v>
      </c>
      <c r="C7" t="s">
        <v>23</v>
      </c>
      <c r="D7" t="s">
        <v>371</v>
      </c>
      <c r="E7" t="s">
        <v>23</v>
      </c>
      <c r="F7">
        <f t="shared" si="0"/>
        <v>4</v>
      </c>
      <c r="G7">
        <v>38</v>
      </c>
      <c r="H7" t="str">
        <f t="shared" si="1"/>
        <v>Correct</v>
      </c>
      <c r="I7">
        <f t="shared" si="2"/>
        <v>0</v>
      </c>
      <c r="J7">
        <v>6</v>
      </c>
      <c r="K7" t="str">
        <f t="shared" si="3"/>
        <v/>
      </c>
    </row>
    <row r="8" spans="1:13" x14ac:dyDescent="0.3">
      <c r="A8">
        <v>7</v>
      </c>
      <c r="B8" t="s">
        <v>372</v>
      </c>
      <c r="C8" t="s">
        <v>32</v>
      </c>
      <c r="D8" t="s">
        <v>373</v>
      </c>
      <c r="E8" t="s">
        <v>29</v>
      </c>
      <c r="F8">
        <f t="shared" si="0"/>
        <v>-1</v>
      </c>
      <c r="G8">
        <v>184</v>
      </c>
      <c r="H8" t="str">
        <f t="shared" si="1"/>
        <v>Incorrect</v>
      </c>
      <c r="I8">
        <f t="shared" si="2"/>
        <v>1</v>
      </c>
      <c r="J8">
        <v>7</v>
      </c>
      <c r="K8">
        <f t="shared" si="3"/>
        <v>7</v>
      </c>
      <c r="M8" t="s">
        <v>374</v>
      </c>
    </row>
    <row r="9" spans="1:13" x14ac:dyDescent="0.3">
      <c r="A9">
        <v>8</v>
      </c>
      <c r="B9" t="s">
        <v>375</v>
      </c>
      <c r="C9" t="s">
        <v>26</v>
      </c>
      <c r="D9">
        <v>1</v>
      </c>
      <c r="E9" t="s">
        <v>29</v>
      </c>
      <c r="F9">
        <f t="shared" si="0"/>
        <v>-1</v>
      </c>
      <c r="G9">
        <v>589</v>
      </c>
      <c r="H9" t="str">
        <f t="shared" si="1"/>
        <v>Incorrect</v>
      </c>
      <c r="I9">
        <f t="shared" si="2"/>
        <v>1</v>
      </c>
      <c r="J9">
        <v>8</v>
      </c>
      <c r="K9">
        <f t="shared" si="3"/>
        <v>8</v>
      </c>
      <c r="L9">
        <v>8</v>
      </c>
      <c r="M9" t="s">
        <v>376</v>
      </c>
    </row>
    <row r="10" spans="1:13" x14ac:dyDescent="0.3">
      <c r="A10">
        <v>9</v>
      </c>
      <c r="B10" t="s">
        <v>377</v>
      </c>
      <c r="C10" t="s">
        <v>32</v>
      </c>
      <c r="D10">
        <v>10</v>
      </c>
      <c r="E10" t="s">
        <v>26</v>
      </c>
      <c r="F10">
        <f t="shared" si="0"/>
        <v>-1</v>
      </c>
      <c r="G10">
        <v>302</v>
      </c>
      <c r="H10" t="str">
        <f t="shared" si="1"/>
        <v>Incorrect</v>
      </c>
      <c r="I10">
        <f t="shared" si="2"/>
        <v>1</v>
      </c>
      <c r="J10">
        <v>9</v>
      </c>
      <c r="K10">
        <f t="shared" si="3"/>
        <v>9</v>
      </c>
      <c r="L10">
        <v>9</v>
      </c>
      <c r="M10" t="s">
        <v>378</v>
      </c>
    </row>
    <row r="11" spans="1:13" x14ac:dyDescent="0.3">
      <c r="A11">
        <v>10</v>
      </c>
      <c r="B11" t="s">
        <v>379</v>
      </c>
      <c r="C11" t="s">
        <v>29</v>
      </c>
      <c r="D11" t="s">
        <v>380</v>
      </c>
      <c r="E11" t="s">
        <v>29</v>
      </c>
      <c r="F11">
        <f t="shared" si="0"/>
        <v>4</v>
      </c>
      <c r="G11">
        <v>625</v>
      </c>
      <c r="H11" t="str">
        <f t="shared" si="1"/>
        <v>Correct</v>
      </c>
      <c r="I11">
        <f t="shared" si="2"/>
        <v>0</v>
      </c>
      <c r="J11">
        <v>10</v>
      </c>
      <c r="K11" t="str">
        <f t="shared" si="3"/>
        <v/>
      </c>
    </row>
    <row r="12" spans="1:13" x14ac:dyDescent="0.3">
      <c r="A12">
        <v>11</v>
      </c>
      <c r="B12" t="s">
        <v>381</v>
      </c>
      <c r="C12" t="s">
        <v>29</v>
      </c>
      <c r="D12" t="s">
        <v>382</v>
      </c>
      <c r="E12" t="s">
        <v>29</v>
      </c>
      <c r="F12">
        <f t="shared" si="0"/>
        <v>4</v>
      </c>
      <c r="G12">
        <v>550</v>
      </c>
      <c r="H12" t="str">
        <f t="shared" si="1"/>
        <v>Correct</v>
      </c>
      <c r="I12">
        <f t="shared" si="2"/>
        <v>0</v>
      </c>
      <c r="J12">
        <v>11</v>
      </c>
      <c r="K12" t="str">
        <f t="shared" si="3"/>
        <v/>
      </c>
      <c r="L12">
        <v>11</v>
      </c>
      <c r="M12" t="s">
        <v>383</v>
      </c>
    </row>
    <row r="13" spans="1:13" x14ac:dyDescent="0.3">
      <c r="A13">
        <v>12</v>
      </c>
      <c r="B13" t="s">
        <v>384</v>
      </c>
      <c r="C13" t="s">
        <v>23</v>
      </c>
      <c r="D13">
        <v>450</v>
      </c>
      <c r="E13" t="s">
        <v>23</v>
      </c>
      <c r="F13">
        <f t="shared" si="0"/>
        <v>4</v>
      </c>
      <c r="G13">
        <v>56</v>
      </c>
      <c r="H13" t="str">
        <f t="shared" si="1"/>
        <v>Correct</v>
      </c>
      <c r="I13">
        <f t="shared" si="2"/>
        <v>0</v>
      </c>
      <c r="J13">
        <v>12</v>
      </c>
      <c r="K13" t="str">
        <f t="shared" si="3"/>
        <v/>
      </c>
      <c r="L13">
        <v>12</v>
      </c>
      <c r="M13" t="s">
        <v>385</v>
      </c>
    </row>
    <row r="14" spans="1:13" x14ac:dyDescent="0.3">
      <c r="A14">
        <v>13</v>
      </c>
      <c r="B14" t="s">
        <v>386</v>
      </c>
      <c r="C14" t="s">
        <v>32</v>
      </c>
      <c r="D14" t="s">
        <v>387</v>
      </c>
      <c r="E14" t="s">
        <v>32</v>
      </c>
      <c r="F14">
        <f t="shared" si="0"/>
        <v>4</v>
      </c>
      <c r="G14">
        <v>16</v>
      </c>
      <c r="H14" t="str">
        <f t="shared" si="1"/>
        <v>Correct</v>
      </c>
      <c r="I14">
        <f t="shared" si="2"/>
        <v>0</v>
      </c>
      <c r="J14">
        <v>13</v>
      </c>
      <c r="K14" t="str">
        <f t="shared" si="3"/>
        <v/>
      </c>
    </row>
    <row r="15" spans="1:13" x14ac:dyDescent="0.3">
      <c r="A15">
        <v>14</v>
      </c>
      <c r="B15" t="s">
        <v>388</v>
      </c>
      <c r="C15" t="s">
        <v>32</v>
      </c>
      <c r="D15" t="s">
        <v>389</v>
      </c>
      <c r="E15" t="s">
        <v>32</v>
      </c>
      <c r="F15">
        <f t="shared" si="0"/>
        <v>4</v>
      </c>
      <c r="G15">
        <v>187</v>
      </c>
      <c r="H15" t="str">
        <f t="shared" si="1"/>
        <v>Correct</v>
      </c>
      <c r="I15">
        <f t="shared" si="2"/>
        <v>0</v>
      </c>
      <c r="J15">
        <v>14</v>
      </c>
      <c r="K15" t="str">
        <f t="shared" si="3"/>
        <v/>
      </c>
    </row>
    <row r="16" spans="1:13" x14ac:dyDescent="0.3">
      <c r="A16">
        <v>15</v>
      </c>
      <c r="B16" t="s">
        <v>390</v>
      </c>
      <c r="C16" t="s">
        <v>23</v>
      </c>
      <c r="D16" t="s">
        <v>391</v>
      </c>
      <c r="E16" t="s">
        <v>29</v>
      </c>
      <c r="F16">
        <f t="shared" si="0"/>
        <v>-1</v>
      </c>
      <c r="G16">
        <v>19</v>
      </c>
      <c r="H16" t="str">
        <f t="shared" si="1"/>
        <v>Incorrect</v>
      </c>
      <c r="I16">
        <f t="shared" si="2"/>
        <v>1</v>
      </c>
      <c r="J16">
        <v>15</v>
      </c>
      <c r="K16">
        <f t="shared" si="3"/>
        <v>15</v>
      </c>
      <c r="L16">
        <v>15</v>
      </c>
      <c r="M16" t="s">
        <v>392</v>
      </c>
    </row>
    <row r="17" spans="1:13" x14ac:dyDescent="0.3">
      <c r="A17">
        <v>16</v>
      </c>
      <c r="B17" t="s">
        <v>393</v>
      </c>
      <c r="C17" t="s">
        <v>32</v>
      </c>
      <c r="D17" t="s">
        <v>394</v>
      </c>
      <c r="E17" t="s">
        <v>32</v>
      </c>
      <c r="F17">
        <f t="shared" si="0"/>
        <v>4</v>
      </c>
      <c r="G17">
        <v>323</v>
      </c>
      <c r="H17" t="str">
        <f t="shared" si="1"/>
        <v>Correct</v>
      </c>
      <c r="I17">
        <f t="shared" si="2"/>
        <v>0</v>
      </c>
      <c r="J17">
        <v>16</v>
      </c>
      <c r="K17" t="str">
        <f t="shared" si="3"/>
        <v/>
      </c>
    </row>
    <row r="18" spans="1:13" x14ac:dyDescent="0.3">
      <c r="A18">
        <v>17</v>
      </c>
      <c r="B18" t="s">
        <v>395</v>
      </c>
      <c r="C18" t="s">
        <v>29</v>
      </c>
      <c r="D18" t="s">
        <v>396</v>
      </c>
      <c r="E18" t="s">
        <v>29</v>
      </c>
      <c r="F18">
        <f t="shared" si="0"/>
        <v>4</v>
      </c>
      <c r="G18">
        <v>552</v>
      </c>
      <c r="H18" t="str">
        <f t="shared" si="1"/>
        <v>Correct</v>
      </c>
      <c r="I18">
        <f t="shared" si="2"/>
        <v>0</v>
      </c>
      <c r="J18">
        <v>17</v>
      </c>
      <c r="K18" t="str">
        <f t="shared" si="3"/>
        <v/>
      </c>
    </row>
    <row r="19" spans="1:13" x14ac:dyDescent="0.3">
      <c r="A19">
        <v>18</v>
      </c>
      <c r="B19" t="s">
        <v>397</v>
      </c>
      <c r="C19" t="s">
        <v>29</v>
      </c>
      <c r="D19" t="s">
        <v>398</v>
      </c>
      <c r="E19" t="s">
        <v>32</v>
      </c>
      <c r="F19">
        <f t="shared" si="0"/>
        <v>-1</v>
      </c>
      <c r="G19">
        <v>126</v>
      </c>
      <c r="H19" t="str">
        <f t="shared" si="1"/>
        <v>Incorrect</v>
      </c>
      <c r="I19">
        <f t="shared" si="2"/>
        <v>1</v>
      </c>
      <c r="J19">
        <v>18</v>
      </c>
      <c r="K19">
        <f t="shared" si="3"/>
        <v>18</v>
      </c>
      <c r="L19">
        <v>18</v>
      </c>
      <c r="M19" t="s">
        <v>399</v>
      </c>
    </row>
    <row r="20" spans="1:13" x14ac:dyDescent="0.3">
      <c r="A20">
        <v>19</v>
      </c>
      <c r="B20" t="s">
        <v>400</v>
      </c>
      <c r="C20" t="s">
        <v>23</v>
      </c>
      <c r="D20" t="s">
        <v>401</v>
      </c>
      <c r="E20" t="s">
        <v>23</v>
      </c>
      <c r="F20">
        <f t="shared" si="0"/>
        <v>4</v>
      </c>
      <c r="G20">
        <v>399</v>
      </c>
      <c r="H20" t="str">
        <f t="shared" si="1"/>
        <v>Correct</v>
      </c>
      <c r="I20">
        <f t="shared" si="2"/>
        <v>0</v>
      </c>
      <c r="J20">
        <v>19</v>
      </c>
      <c r="K20" t="str">
        <f t="shared" si="3"/>
        <v/>
      </c>
    </row>
    <row r="21" spans="1:13" x14ac:dyDescent="0.3">
      <c r="A21">
        <v>20</v>
      </c>
      <c r="B21" t="s">
        <v>402</v>
      </c>
      <c r="C21" t="s">
        <v>26</v>
      </c>
      <c r="D21" t="s">
        <v>403</v>
      </c>
      <c r="E21" t="s">
        <v>32</v>
      </c>
      <c r="F21">
        <f t="shared" si="0"/>
        <v>-1</v>
      </c>
      <c r="G21">
        <v>86</v>
      </c>
      <c r="H21" t="str">
        <f t="shared" si="1"/>
        <v>Incorrect</v>
      </c>
      <c r="I21">
        <f t="shared" si="2"/>
        <v>1</v>
      </c>
      <c r="J21">
        <v>20</v>
      </c>
      <c r="K21">
        <f t="shared" si="3"/>
        <v>20</v>
      </c>
      <c r="L21">
        <v>20</v>
      </c>
      <c r="M21" t="s">
        <v>404</v>
      </c>
    </row>
    <row r="22" spans="1:13" x14ac:dyDescent="0.3">
      <c r="A22">
        <v>21</v>
      </c>
      <c r="B22" t="s">
        <v>405</v>
      </c>
      <c r="C22" t="s">
        <v>23</v>
      </c>
      <c r="D22" t="s">
        <v>406</v>
      </c>
      <c r="E22" t="s">
        <v>23</v>
      </c>
      <c r="F22">
        <f t="shared" si="0"/>
        <v>4</v>
      </c>
      <c r="G22">
        <v>257</v>
      </c>
      <c r="H22" t="str">
        <f t="shared" si="1"/>
        <v>Correct</v>
      </c>
      <c r="I22">
        <f t="shared" si="2"/>
        <v>0</v>
      </c>
      <c r="J22">
        <v>21</v>
      </c>
      <c r="K22" t="str">
        <f t="shared" si="3"/>
        <v/>
      </c>
      <c r="L22">
        <v>21</v>
      </c>
      <c r="M22" t="s">
        <v>399</v>
      </c>
    </row>
    <row r="23" spans="1:13" x14ac:dyDescent="0.3">
      <c r="A23">
        <v>22</v>
      </c>
      <c r="B23" t="s">
        <v>407</v>
      </c>
      <c r="C23" t="s">
        <v>23</v>
      </c>
      <c r="D23" t="s">
        <v>408</v>
      </c>
      <c r="E23" t="s">
        <v>23</v>
      </c>
      <c r="F23">
        <f t="shared" si="0"/>
        <v>4</v>
      </c>
      <c r="G23">
        <v>258</v>
      </c>
      <c r="H23" t="str">
        <f t="shared" si="1"/>
        <v>Correct</v>
      </c>
      <c r="I23">
        <f t="shared" si="2"/>
        <v>0</v>
      </c>
      <c r="J23">
        <v>22</v>
      </c>
      <c r="K23" t="str">
        <f t="shared" si="3"/>
        <v/>
      </c>
      <c r="L23">
        <v>22</v>
      </c>
      <c r="M23" t="s">
        <v>399</v>
      </c>
    </row>
    <row r="24" spans="1:13" x14ac:dyDescent="0.3">
      <c r="A24">
        <v>23</v>
      </c>
      <c r="B24" t="s">
        <v>409</v>
      </c>
      <c r="C24" t="s">
        <v>29</v>
      </c>
      <c r="D24" t="s">
        <v>410</v>
      </c>
      <c r="E24" t="s">
        <v>29</v>
      </c>
      <c r="F24">
        <f t="shared" si="0"/>
        <v>4</v>
      </c>
      <c r="G24">
        <v>115</v>
      </c>
      <c r="H24" t="str">
        <f t="shared" si="1"/>
        <v>Correct</v>
      </c>
      <c r="I24">
        <f t="shared" si="2"/>
        <v>0</v>
      </c>
      <c r="J24">
        <v>23</v>
      </c>
      <c r="K24" t="str">
        <f t="shared" si="3"/>
        <v/>
      </c>
    </row>
    <row r="25" spans="1:13" x14ac:dyDescent="0.3">
      <c r="A25">
        <v>24</v>
      </c>
      <c r="B25" t="s">
        <v>411</v>
      </c>
      <c r="C25" t="s">
        <v>26</v>
      </c>
      <c r="D25" t="s">
        <v>412</v>
      </c>
      <c r="E25" t="s">
        <v>26</v>
      </c>
      <c r="F25">
        <f t="shared" si="0"/>
        <v>4</v>
      </c>
      <c r="G25">
        <v>89</v>
      </c>
      <c r="H25" t="str">
        <f t="shared" si="1"/>
        <v>Correct</v>
      </c>
      <c r="I25">
        <f t="shared" si="2"/>
        <v>0</v>
      </c>
      <c r="J25">
        <v>24</v>
      </c>
      <c r="K25" t="str">
        <f t="shared" si="3"/>
        <v/>
      </c>
      <c r="L25">
        <v>24</v>
      </c>
      <c r="M25" t="s">
        <v>413</v>
      </c>
    </row>
    <row r="26" spans="1:13" x14ac:dyDescent="0.3">
      <c r="A26">
        <v>25</v>
      </c>
      <c r="B26" t="s">
        <v>414</v>
      </c>
      <c r="C26" t="s">
        <v>32</v>
      </c>
      <c r="D26" t="s">
        <v>415</v>
      </c>
      <c r="E26" t="s">
        <v>32</v>
      </c>
      <c r="F26">
        <f t="shared" si="0"/>
        <v>4</v>
      </c>
      <c r="G26">
        <v>334</v>
      </c>
      <c r="H26" t="str">
        <f t="shared" si="1"/>
        <v>Correct</v>
      </c>
      <c r="I26">
        <f t="shared" si="2"/>
        <v>0</v>
      </c>
      <c r="J26">
        <v>25</v>
      </c>
      <c r="K26" t="str">
        <f t="shared" si="3"/>
        <v/>
      </c>
    </row>
    <row r="27" spans="1:13" x14ac:dyDescent="0.3">
      <c r="A27">
        <v>26</v>
      </c>
      <c r="B27" t="s">
        <v>416</v>
      </c>
      <c r="C27" t="s">
        <v>23</v>
      </c>
      <c r="D27" t="s">
        <v>417</v>
      </c>
      <c r="E27" t="s">
        <v>23</v>
      </c>
      <c r="F27">
        <f t="shared" si="0"/>
        <v>4</v>
      </c>
      <c r="G27">
        <v>33</v>
      </c>
      <c r="H27" t="str">
        <f t="shared" si="1"/>
        <v>Correct</v>
      </c>
      <c r="I27">
        <f t="shared" si="2"/>
        <v>0</v>
      </c>
      <c r="J27">
        <v>26</v>
      </c>
      <c r="K27" t="str">
        <f t="shared" si="3"/>
        <v/>
      </c>
    </row>
    <row r="28" spans="1:13" x14ac:dyDescent="0.3">
      <c r="A28">
        <v>27</v>
      </c>
      <c r="B28" t="s">
        <v>418</v>
      </c>
      <c r="C28" t="s">
        <v>32</v>
      </c>
      <c r="D28" t="s">
        <v>419</v>
      </c>
      <c r="E28" t="s">
        <v>32</v>
      </c>
      <c r="F28">
        <f t="shared" si="0"/>
        <v>4</v>
      </c>
      <c r="G28">
        <v>55</v>
      </c>
      <c r="H28" t="str">
        <f t="shared" si="1"/>
        <v>Correct</v>
      </c>
      <c r="I28">
        <f t="shared" si="2"/>
        <v>0</v>
      </c>
      <c r="J28">
        <v>27</v>
      </c>
      <c r="K28" t="str">
        <f t="shared" si="3"/>
        <v/>
      </c>
    </row>
    <row r="29" spans="1:13" x14ac:dyDescent="0.3">
      <c r="A29">
        <v>28</v>
      </c>
      <c r="B29" t="s">
        <v>420</v>
      </c>
      <c r="C29" t="s">
        <v>26</v>
      </c>
      <c r="D29" t="s">
        <v>421</v>
      </c>
      <c r="E29" t="s">
        <v>29</v>
      </c>
      <c r="F29">
        <f t="shared" si="0"/>
        <v>-1</v>
      </c>
      <c r="G29">
        <v>342</v>
      </c>
      <c r="H29" t="str">
        <f t="shared" si="1"/>
        <v>Incorrect</v>
      </c>
      <c r="I29">
        <f t="shared" si="2"/>
        <v>1</v>
      </c>
      <c r="J29">
        <v>28</v>
      </c>
      <c r="K29">
        <f t="shared" si="3"/>
        <v>28</v>
      </c>
      <c r="M29" t="s">
        <v>422</v>
      </c>
    </row>
    <row r="30" spans="1:13" x14ac:dyDescent="0.3">
      <c r="A30">
        <v>29</v>
      </c>
      <c r="B30" t="s">
        <v>423</v>
      </c>
      <c r="C30" t="s">
        <v>26</v>
      </c>
      <c r="D30" t="s">
        <v>424</v>
      </c>
      <c r="E30" t="s">
        <v>26</v>
      </c>
      <c r="F30">
        <f t="shared" si="0"/>
        <v>4</v>
      </c>
      <c r="G30">
        <v>110</v>
      </c>
      <c r="H30" t="str">
        <f t="shared" si="1"/>
        <v>Correct</v>
      </c>
      <c r="I30">
        <f t="shared" si="2"/>
        <v>0</v>
      </c>
      <c r="J30">
        <v>29</v>
      </c>
      <c r="K30" t="str">
        <f t="shared" si="3"/>
        <v/>
      </c>
    </row>
    <row r="31" spans="1:13" x14ac:dyDescent="0.3">
      <c r="A31">
        <v>30</v>
      </c>
      <c r="B31" t="s">
        <v>425</v>
      </c>
      <c r="C31" t="s">
        <v>23</v>
      </c>
      <c r="D31" t="s">
        <v>426</v>
      </c>
      <c r="E31" t="s">
        <v>23</v>
      </c>
      <c r="F31">
        <f t="shared" si="0"/>
        <v>4</v>
      </c>
      <c r="G31">
        <v>147</v>
      </c>
      <c r="H31" t="str">
        <f t="shared" si="1"/>
        <v>Correct</v>
      </c>
      <c r="I31">
        <f t="shared" si="2"/>
        <v>0</v>
      </c>
      <c r="J31">
        <v>30</v>
      </c>
      <c r="K31" t="str">
        <f t="shared" si="3"/>
        <v/>
      </c>
    </row>
    <row r="32" spans="1:13" x14ac:dyDescent="0.3">
      <c r="F32">
        <f>SUM(F2:F31)</f>
        <v>75</v>
      </c>
      <c r="I32">
        <f>SUM(I2:I31)</f>
        <v>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2"/>
  <sheetViews>
    <sheetView workbookViewId="0"/>
  </sheetViews>
  <sheetFormatPr defaultRowHeight="14.4" x14ac:dyDescent="0.3"/>
  <cols>
    <col min="1" max="1" width="15" customWidth="1"/>
    <col min="2" max="2" width="50" customWidth="1"/>
    <col min="3" max="3" width="23"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11</v>
      </c>
      <c r="D1" t="s">
        <v>12</v>
      </c>
      <c r="E1" t="s">
        <v>13</v>
      </c>
      <c r="F1" t="s">
        <v>14</v>
      </c>
      <c r="G1" t="s">
        <v>15</v>
      </c>
      <c r="H1" t="s">
        <v>16</v>
      </c>
      <c r="I1" t="s">
        <v>17</v>
      </c>
      <c r="J1" t="s">
        <v>18</v>
      </c>
      <c r="K1" t="s">
        <v>19</v>
      </c>
      <c r="L1" t="s">
        <v>20</v>
      </c>
      <c r="M1" t="s">
        <v>21</v>
      </c>
    </row>
    <row r="2" spans="1:13" x14ac:dyDescent="0.3">
      <c r="A2">
        <v>1</v>
      </c>
      <c r="B2" t="s">
        <v>427</v>
      </c>
      <c r="C2" t="s">
        <v>23</v>
      </c>
      <c r="D2" s="5" t="s">
        <v>428</v>
      </c>
      <c r="E2" t="s">
        <v>23</v>
      </c>
      <c r="F2">
        <f t="shared" ref="F2:F31" si="0">IF(C2&lt;&gt;E2,-1,4)</f>
        <v>4</v>
      </c>
      <c r="G2">
        <v>361</v>
      </c>
      <c r="H2" t="str">
        <f t="shared" ref="H2:H31" si="1">IF(F2=4,"Correct",IF(F2=0,"Unattempted","Incorrect"))</f>
        <v>Correct</v>
      </c>
      <c r="I2">
        <f t="shared" ref="I2:I31" si="2">COUNTIF(H2,"=Unattempted") + COUNTIF(H2,"=Incorrect")</f>
        <v>0</v>
      </c>
      <c r="J2">
        <v>1</v>
      </c>
      <c r="K2" t="str">
        <f t="shared" ref="K2:K31" si="3">IF(I2,J2,"")</f>
        <v/>
      </c>
    </row>
    <row r="3" spans="1:13" x14ac:dyDescent="0.3">
      <c r="A3">
        <v>2</v>
      </c>
      <c r="B3" t="s">
        <v>429</v>
      </c>
      <c r="C3" t="s">
        <v>29</v>
      </c>
      <c r="D3" s="5" t="s">
        <v>430</v>
      </c>
      <c r="E3" t="s">
        <v>29</v>
      </c>
      <c r="F3">
        <f t="shared" si="0"/>
        <v>4</v>
      </c>
      <c r="G3">
        <v>298</v>
      </c>
      <c r="H3" t="str">
        <f t="shared" si="1"/>
        <v>Correct</v>
      </c>
      <c r="I3">
        <f t="shared" si="2"/>
        <v>0</v>
      </c>
      <c r="J3">
        <v>2</v>
      </c>
      <c r="K3" t="str">
        <f t="shared" si="3"/>
        <v/>
      </c>
      <c r="L3">
        <v>2</v>
      </c>
      <c r="M3" t="s">
        <v>431</v>
      </c>
    </row>
    <row r="4" spans="1:13" x14ac:dyDescent="0.3">
      <c r="A4">
        <v>3</v>
      </c>
      <c r="B4" t="s">
        <v>432</v>
      </c>
      <c r="C4" t="s">
        <v>26</v>
      </c>
      <c r="D4" s="5" t="s">
        <v>433</v>
      </c>
      <c r="E4" t="s">
        <v>26</v>
      </c>
      <c r="F4">
        <f t="shared" si="0"/>
        <v>4</v>
      </c>
      <c r="G4">
        <v>111</v>
      </c>
      <c r="H4" t="str">
        <f t="shared" si="1"/>
        <v>Correct</v>
      </c>
      <c r="I4">
        <f t="shared" si="2"/>
        <v>0</v>
      </c>
      <c r="J4">
        <v>3</v>
      </c>
      <c r="K4" t="str">
        <f t="shared" si="3"/>
        <v/>
      </c>
    </row>
    <row r="5" spans="1:13" x14ac:dyDescent="0.3">
      <c r="A5">
        <v>4</v>
      </c>
      <c r="B5" t="s">
        <v>434</v>
      </c>
      <c r="C5" t="s">
        <v>23</v>
      </c>
      <c r="D5" s="5" t="s">
        <v>435</v>
      </c>
      <c r="E5" t="s">
        <v>32</v>
      </c>
      <c r="F5">
        <f t="shared" si="0"/>
        <v>-1</v>
      </c>
      <c r="G5">
        <v>476</v>
      </c>
      <c r="H5" t="str">
        <f t="shared" si="1"/>
        <v>Incorrect</v>
      </c>
      <c r="I5">
        <f t="shared" si="2"/>
        <v>1</v>
      </c>
      <c r="J5">
        <v>4</v>
      </c>
      <c r="K5">
        <f t="shared" si="3"/>
        <v>4</v>
      </c>
      <c r="L5">
        <v>4</v>
      </c>
      <c r="M5" t="s">
        <v>436</v>
      </c>
    </row>
    <row r="6" spans="1:13" x14ac:dyDescent="0.3">
      <c r="A6">
        <v>5</v>
      </c>
      <c r="B6" t="s">
        <v>437</v>
      </c>
      <c r="C6" t="s">
        <v>23</v>
      </c>
      <c r="D6" s="5" t="s">
        <v>438</v>
      </c>
      <c r="E6" t="s">
        <v>23</v>
      </c>
      <c r="F6">
        <f t="shared" si="0"/>
        <v>4</v>
      </c>
      <c r="G6">
        <v>344</v>
      </c>
      <c r="H6" t="str">
        <f t="shared" si="1"/>
        <v>Correct</v>
      </c>
      <c r="I6">
        <f t="shared" si="2"/>
        <v>0</v>
      </c>
      <c r="J6">
        <v>5</v>
      </c>
      <c r="K6" t="str">
        <f t="shared" si="3"/>
        <v/>
      </c>
    </row>
    <row r="7" spans="1:13" x14ac:dyDescent="0.3">
      <c r="A7">
        <v>6</v>
      </c>
      <c r="B7" t="s">
        <v>439</v>
      </c>
      <c r="C7" t="s">
        <v>26</v>
      </c>
      <c r="D7" s="5" t="s">
        <v>440</v>
      </c>
      <c r="E7" t="s">
        <v>26</v>
      </c>
      <c r="F7">
        <f t="shared" si="0"/>
        <v>4</v>
      </c>
      <c r="G7">
        <v>6</v>
      </c>
      <c r="H7" t="str">
        <f t="shared" si="1"/>
        <v>Correct</v>
      </c>
      <c r="I7">
        <f t="shared" si="2"/>
        <v>0</v>
      </c>
      <c r="J7">
        <v>6</v>
      </c>
      <c r="K7" t="str">
        <f t="shared" si="3"/>
        <v/>
      </c>
    </row>
    <row r="8" spans="1:13" x14ac:dyDescent="0.3">
      <c r="A8">
        <v>7</v>
      </c>
      <c r="B8" t="s">
        <v>441</v>
      </c>
      <c r="C8" t="s">
        <v>29</v>
      </c>
      <c r="D8" s="5" t="s">
        <v>111</v>
      </c>
      <c r="E8" t="s">
        <v>29</v>
      </c>
      <c r="F8">
        <f t="shared" si="0"/>
        <v>4</v>
      </c>
      <c r="G8">
        <v>131</v>
      </c>
      <c r="H8" t="str">
        <f t="shared" si="1"/>
        <v>Correct</v>
      </c>
      <c r="I8">
        <f t="shared" si="2"/>
        <v>0</v>
      </c>
      <c r="J8">
        <v>7</v>
      </c>
      <c r="K8" t="str">
        <f t="shared" si="3"/>
        <v/>
      </c>
    </row>
    <row r="9" spans="1:13" x14ac:dyDescent="0.3">
      <c r="A9">
        <v>8</v>
      </c>
      <c r="B9" t="s">
        <v>442</v>
      </c>
      <c r="C9" t="s">
        <v>29</v>
      </c>
      <c r="D9" s="5" t="s">
        <v>443</v>
      </c>
      <c r="E9" t="s">
        <v>29</v>
      </c>
      <c r="F9">
        <f t="shared" si="0"/>
        <v>4</v>
      </c>
      <c r="G9">
        <v>176</v>
      </c>
      <c r="H9" t="str">
        <f t="shared" si="1"/>
        <v>Correct</v>
      </c>
      <c r="I9">
        <f t="shared" si="2"/>
        <v>0</v>
      </c>
      <c r="J9">
        <v>8</v>
      </c>
      <c r="K9" t="str">
        <f t="shared" si="3"/>
        <v/>
      </c>
    </row>
    <row r="10" spans="1:13" x14ac:dyDescent="0.3">
      <c r="A10">
        <v>9</v>
      </c>
      <c r="B10" t="s">
        <v>444</v>
      </c>
      <c r="C10" t="s">
        <v>26</v>
      </c>
      <c r="D10" s="5" t="s">
        <v>428</v>
      </c>
      <c r="E10" t="s">
        <v>26</v>
      </c>
      <c r="F10">
        <f t="shared" si="0"/>
        <v>4</v>
      </c>
      <c r="G10">
        <v>209</v>
      </c>
      <c r="H10" t="str">
        <f t="shared" si="1"/>
        <v>Correct</v>
      </c>
      <c r="I10">
        <f t="shared" si="2"/>
        <v>0</v>
      </c>
      <c r="J10">
        <v>9</v>
      </c>
      <c r="K10" t="str">
        <f t="shared" si="3"/>
        <v/>
      </c>
    </row>
    <row r="11" spans="1:13" x14ac:dyDescent="0.3">
      <c r="A11">
        <v>10</v>
      </c>
      <c r="B11" t="s">
        <v>445</v>
      </c>
      <c r="C11" t="s">
        <v>29</v>
      </c>
      <c r="D11" s="5" t="s">
        <v>446</v>
      </c>
      <c r="E11" t="s">
        <v>29</v>
      </c>
      <c r="F11">
        <f t="shared" si="0"/>
        <v>4</v>
      </c>
      <c r="G11">
        <v>94</v>
      </c>
      <c r="H11" t="str">
        <f t="shared" si="1"/>
        <v>Correct</v>
      </c>
      <c r="I11">
        <f t="shared" si="2"/>
        <v>0</v>
      </c>
      <c r="J11">
        <v>10</v>
      </c>
      <c r="K11" t="str">
        <f t="shared" si="3"/>
        <v/>
      </c>
    </row>
    <row r="12" spans="1:13" x14ac:dyDescent="0.3">
      <c r="A12">
        <v>11</v>
      </c>
      <c r="B12" t="s">
        <v>447</v>
      </c>
      <c r="C12" t="s">
        <v>23</v>
      </c>
      <c r="D12" s="5" t="s">
        <v>448</v>
      </c>
      <c r="E12" t="s">
        <v>32</v>
      </c>
      <c r="F12">
        <f t="shared" si="0"/>
        <v>-1</v>
      </c>
      <c r="G12">
        <v>199</v>
      </c>
      <c r="H12" t="str">
        <f t="shared" si="1"/>
        <v>Incorrect</v>
      </c>
      <c r="I12">
        <f t="shared" si="2"/>
        <v>1</v>
      </c>
      <c r="J12">
        <v>11</v>
      </c>
      <c r="K12">
        <f t="shared" si="3"/>
        <v>11</v>
      </c>
      <c r="L12">
        <v>11</v>
      </c>
      <c r="M12" t="s">
        <v>449</v>
      </c>
    </row>
    <row r="13" spans="1:13" x14ac:dyDescent="0.3">
      <c r="A13">
        <v>12</v>
      </c>
      <c r="B13" t="s">
        <v>450</v>
      </c>
      <c r="C13" t="s">
        <v>23</v>
      </c>
      <c r="D13" s="5" t="s">
        <v>451</v>
      </c>
      <c r="E13" t="s">
        <v>23</v>
      </c>
      <c r="F13">
        <f t="shared" si="0"/>
        <v>4</v>
      </c>
      <c r="G13">
        <v>454</v>
      </c>
      <c r="H13" t="str">
        <f t="shared" si="1"/>
        <v>Correct</v>
      </c>
      <c r="I13">
        <f t="shared" si="2"/>
        <v>0</v>
      </c>
      <c r="J13">
        <v>12</v>
      </c>
      <c r="K13" t="str">
        <f t="shared" si="3"/>
        <v/>
      </c>
      <c r="L13">
        <v>12</v>
      </c>
      <c r="M13" t="s">
        <v>452</v>
      </c>
    </row>
    <row r="14" spans="1:13" x14ac:dyDescent="0.3">
      <c r="A14">
        <v>13</v>
      </c>
      <c r="B14" t="s">
        <v>453</v>
      </c>
      <c r="C14" t="s">
        <v>32</v>
      </c>
      <c r="D14" s="5" t="s">
        <v>454</v>
      </c>
      <c r="E14" t="s">
        <v>29</v>
      </c>
      <c r="F14">
        <f t="shared" si="0"/>
        <v>-1</v>
      </c>
      <c r="G14">
        <v>157</v>
      </c>
      <c r="H14" t="str">
        <f t="shared" si="1"/>
        <v>Incorrect</v>
      </c>
      <c r="I14">
        <f t="shared" si="2"/>
        <v>1</v>
      </c>
      <c r="J14">
        <v>13</v>
      </c>
      <c r="K14">
        <f t="shared" si="3"/>
        <v>13</v>
      </c>
      <c r="M14" t="s">
        <v>455</v>
      </c>
    </row>
    <row r="15" spans="1:13" x14ac:dyDescent="0.3">
      <c r="A15">
        <v>14</v>
      </c>
      <c r="B15" t="s">
        <v>456</v>
      </c>
      <c r="C15" t="s">
        <v>26</v>
      </c>
      <c r="D15" s="5" t="s">
        <v>457</v>
      </c>
      <c r="E15" t="s">
        <v>26</v>
      </c>
      <c r="F15">
        <f t="shared" si="0"/>
        <v>4</v>
      </c>
      <c r="G15">
        <v>385</v>
      </c>
      <c r="H15" t="str">
        <f t="shared" si="1"/>
        <v>Correct</v>
      </c>
      <c r="I15">
        <f t="shared" si="2"/>
        <v>0</v>
      </c>
      <c r="J15">
        <v>14</v>
      </c>
      <c r="K15" t="str">
        <f t="shared" si="3"/>
        <v/>
      </c>
      <c r="L15">
        <v>14</v>
      </c>
      <c r="M15" t="s">
        <v>458</v>
      </c>
    </row>
    <row r="16" spans="1:13" x14ac:dyDescent="0.3">
      <c r="A16">
        <v>15</v>
      </c>
      <c r="B16" t="s">
        <v>459</v>
      </c>
      <c r="C16" t="s">
        <v>26</v>
      </c>
      <c r="D16" s="5" t="s">
        <v>460</v>
      </c>
      <c r="E16" t="s">
        <v>26</v>
      </c>
      <c r="F16">
        <f t="shared" si="0"/>
        <v>4</v>
      </c>
      <c r="G16">
        <v>308</v>
      </c>
      <c r="H16" t="str">
        <f t="shared" si="1"/>
        <v>Correct</v>
      </c>
      <c r="I16">
        <f t="shared" si="2"/>
        <v>0</v>
      </c>
      <c r="J16">
        <v>15</v>
      </c>
      <c r="K16" t="str">
        <f t="shared" si="3"/>
        <v/>
      </c>
    </row>
    <row r="17" spans="1:13" x14ac:dyDescent="0.3">
      <c r="A17">
        <v>16</v>
      </c>
      <c r="B17" t="s">
        <v>461</v>
      </c>
      <c r="C17" t="s">
        <v>26</v>
      </c>
      <c r="D17" s="5" t="s">
        <v>462</v>
      </c>
      <c r="E17" t="s">
        <v>29</v>
      </c>
      <c r="F17">
        <f t="shared" si="0"/>
        <v>-1</v>
      </c>
      <c r="G17">
        <v>198</v>
      </c>
      <c r="H17" t="str">
        <f t="shared" si="1"/>
        <v>Incorrect</v>
      </c>
      <c r="I17">
        <f t="shared" si="2"/>
        <v>1</v>
      </c>
      <c r="J17">
        <v>16</v>
      </c>
      <c r="K17">
        <f t="shared" si="3"/>
        <v>16</v>
      </c>
      <c r="L17">
        <v>16</v>
      </c>
      <c r="M17" t="s">
        <v>463</v>
      </c>
    </row>
    <row r="18" spans="1:13" x14ac:dyDescent="0.3">
      <c r="A18">
        <v>17</v>
      </c>
      <c r="B18" t="s">
        <v>464</v>
      </c>
      <c r="C18" t="s">
        <v>32</v>
      </c>
      <c r="D18" s="5" t="s">
        <v>465</v>
      </c>
      <c r="E18" t="s">
        <v>23</v>
      </c>
      <c r="F18">
        <f t="shared" si="0"/>
        <v>-1</v>
      </c>
      <c r="G18">
        <v>132</v>
      </c>
      <c r="H18" t="str">
        <f t="shared" si="1"/>
        <v>Incorrect</v>
      </c>
      <c r="I18">
        <f t="shared" si="2"/>
        <v>1</v>
      </c>
      <c r="J18">
        <v>17</v>
      </c>
      <c r="K18">
        <f t="shared" si="3"/>
        <v>17</v>
      </c>
      <c r="L18">
        <v>17</v>
      </c>
      <c r="M18" t="s">
        <v>466</v>
      </c>
    </row>
    <row r="19" spans="1:13" x14ac:dyDescent="0.3">
      <c r="A19">
        <v>18</v>
      </c>
      <c r="B19" t="s">
        <v>467</v>
      </c>
      <c r="C19" t="s">
        <v>26</v>
      </c>
      <c r="D19" s="5" t="s">
        <v>440</v>
      </c>
      <c r="E19" t="s">
        <v>26</v>
      </c>
      <c r="F19">
        <f t="shared" si="0"/>
        <v>4</v>
      </c>
      <c r="G19">
        <v>373</v>
      </c>
      <c r="H19" t="str">
        <f t="shared" si="1"/>
        <v>Correct</v>
      </c>
      <c r="I19">
        <f t="shared" si="2"/>
        <v>0</v>
      </c>
      <c r="J19">
        <v>18</v>
      </c>
      <c r="K19" t="str">
        <f t="shared" si="3"/>
        <v/>
      </c>
    </row>
    <row r="20" spans="1:13" x14ac:dyDescent="0.3">
      <c r="A20">
        <v>19</v>
      </c>
      <c r="B20" t="s">
        <v>468</v>
      </c>
      <c r="C20" t="s">
        <v>23</v>
      </c>
      <c r="D20" s="5" t="s">
        <v>469</v>
      </c>
      <c r="E20" t="s">
        <v>23</v>
      </c>
      <c r="F20">
        <f t="shared" si="0"/>
        <v>4</v>
      </c>
      <c r="G20">
        <v>474</v>
      </c>
      <c r="H20" t="str">
        <f t="shared" si="1"/>
        <v>Correct</v>
      </c>
      <c r="I20">
        <f t="shared" si="2"/>
        <v>0</v>
      </c>
      <c r="J20">
        <v>19</v>
      </c>
      <c r="K20" t="str">
        <f t="shared" si="3"/>
        <v/>
      </c>
    </row>
    <row r="21" spans="1:13" x14ac:dyDescent="0.3">
      <c r="A21">
        <v>20</v>
      </c>
      <c r="B21" t="s">
        <v>470</v>
      </c>
      <c r="C21" t="s">
        <v>26</v>
      </c>
      <c r="D21" s="5" t="s">
        <v>471</v>
      </c>
      <c r="E21" t="s">
        <v>26</v>
      </c>
      <c r="F21">
        <f t="shared" si="0"/>
        <v>4</v>
      </c>
      <c r="G21">
        <v>103</v>
      </c>
      <c r="H21" t="str">
        <f t="shared" si="1"/>
        <v>Correct</v>
      </c>
      <c r="I21">
        <f t="shared" si="2"/>
        <v>0</v>
      </c>
      <c r="J21">
        <v>20</v>
      </c>
      <c r="K21" t="str">
        <f t="shared" si="3"/>
        <v/>
      </c>
    </row>
    <row r="22" spans="1:13" x14ac:dyDescent="0.3">
      <c r="A22">
        <v>21</v>
      </c>
      <c r="B22" t="s">
        <v>472</v>
      </c>
      <c r="C22" t="s">
        <v>32</v>
      </c>
      <c r="D22" s="5" t="s">
        <v>473</v>
      </c>
      <c r="E22" t="s">
        <v>32</v>
      </c>
      <c r="F22">
        <f t="shared" si="0"/>
        <v>4</v>
      </c>
      <c r="G22">
        <v>96</v>
      </c>
      <c r="H22" t="str">
        <f t="shared" si="1"/>
        <v>Correct</v>
      </c>
      <c r="I22">
        <f t="shared" si="2"/>
        <v>0</v>
      </c>
      <c r="J22">
        <v>21</v>
      </c>
      <c r="K22" t="str">
        <f t="shared" si="3"/>
        <v/>
      </c>
    </row>
    <row r="23" spans="1:13" x14ac:dyDescent="0.3">
      <c r="A23">
        <v>22</v>
      </c>
      <c r="B23" t="s">
        <v>474</v>
      </c>
      <c r="C23" t="s">
        <v>32</v>
      </c>
      <c r="D23" s="5" t="s">
        <v>475</v>
      </c>
      <c r="E23" t="s">
        <v>32</v>
      </c>
      <c r="F23">
        <f t="shared" si="0"/>
        <v>4</v>
      </c>
      <c r="G23">
        <v>116</v>
      </c>
      <c r="H23" t="str">
        <f t="shared" si="1"/>
        <v>Correct</v>
      </c>
      <c r="I23">
        <f t="shared" si="2"/>
        <v>0</v>
      </c>
      <c r="J23">
        <v>22</v>
      </c>
      <c r="K23" t="str">
        <f t="shared" si="3"/>
        <v/>
      </c>
    </row>
    <row r="24" spans="1:13" x14ac:dyDescent="0.3">
      <c r="A24">
        <v>23</v>
      </c>
      <c r="B24" t="s">
        <v>476</v>
      </c>
      <c r="C24" t="s">
        <v>26</v>
      </c>
      <c r="D24" s="5" t="s">
        <v>477</v>
      </c>
      <c r="E24" t="s">
        <v>26</v>
      </c>
      <c r="F24">
        <f t="shared" si="0"/>
        <v>4</v>
      </c>
      <c r="G24">
        <v>536</v>
      </c>
      <c r="H24" t="str">
        <f t="shared" si="1"/>
        <v>Correct</v>
      </c>
      <c r="I24">
        <f t="shared" si="2"/>
        <v>0</v>
      </c>
      <c r="J24">
        <v>23</v>
      </c>
      <c r="K24" t="str">
        <f t="shared" si="3"/>
        <v/>
      </c>
      <c r="L24">
        <v>23</v>
      </c>
    </row>
    <row r="25" spans="1:13" x14ac:dyDescent="0.3">
      <c r="A25">
        <v>24</v>
      </c>
      <c r="B25" t="s">
        <v>478</v>
      </c>
      <c r="C25" t="s">
        <v>26</v>
      </c>
      <c r="D25" s="5" t="s">
        <v>479</v>
      </c>
      <c r="E25" t="s">
        <v>29</v>
      </c>
      <c r="F25">
        <f t="shared" si="0"/>
        <v>-1</v>
      </c>
      <c r="G25">
        <v>165</v>
      </c>
      <c r="H25" t="str">
        <f t="shared" si="1"/>
        <v>Incorrect</v>
      </c>
      <c r="I25">
        <f t="shared" si="2"/>
        <v>1</v>
      </c>
      <c r="J25">
        <v>24</v>
      </c>
      <c r="K25">
        <f t="shared" si="3"/>
        <v>24</v>
      </c>
      <c r="L25">
        <v>24</v>
      </c>
      <c r="M25" t="s">
        <v>480</v>
      </c>
    </row>
    <row r="26" spans="1:13" x14ac:dyDescent="0.3">
      <c r="A26">
        <v>25</v>
      </c>
      <c r="B26" t="s">
        <v>481</v>
      </c>
      <c r="C26" t="s">
        <v>23</v>
      </c>
      <c r="D26" s="5" t="s">
        <v>482</v>
      </c>
      <c r="E26" t="s">
        <v>23</v>
      </c>
      <c r="F26">
        <f t="shared" si="0"/>
        <v>4</v>
      </c>
      <c r="G26">
        <v>137</v>
      </c>
      <c r="H26" t="str">
        <f t="shared" si="1"/>
        <v>Correct</v>
      </c>
      <c r="I26">
        <f t="shared" si="2"/>
        <v>0</v>
      </c>
      <c r="J26">
        <v>25</v>
      </c>
      <c r="K26" t="str">
        <f t="shared" si="3"/>
        <v/>
      </c>
    </row>
    <row r="27" spans="1:13" x14ac:dyDescent="0.3">
      <c r="A27">
        <v>26</v>
      </c>
      <c r="B27" t="s">
        <v>483</v>
      </c>
      <c r="C27" t="s">
        <v>23</v>
      </c>
      <c r="D27" s="5" t="s">
        <v>484</v>
      </c>
      <c r="E27" t="s">
        <v>32</v>
      </c>
      <c r="F27">
        <f t="shared" si="0"/>
        <v>-1</v>
      </c>
      <c r="G27">
        <v>330</v>
      </c>
      <c r="H27" t="str">
        <f t="shared" si="1"/>
        <v>Incorrect</v>
      </c>
      <c r="I27">
        <f t="shared" si="2"/>
        <v>1</v>
      </c>
      <c r="J27">
        <v>26</v>
      </c>
      <c r="K27">
        <f t="shared" si="3"/>
        <v>26</v>
      </c>
      <c r="L27">
        <v>26</v>
      </c>
      <c r="M27" t="s">
        <v>485</v>
      </c>
    </row>
    <row r="28" spans="1:13" x14ac:dyDescent="0.3">
      <c r="A28">
        <v>27</v>
      </c>
      <c r="B28" t="s">
        <v>486</v>
      </c>
      <c r="C28" t="s">
        <v>32</v>
      </c>
      <c r="D28" s="5" t="s">
        <v>487</v>
      </c>
      <c r="E28" t="s">
        <v>32</v>
      </c>
      <c r="F28">
        <f t="shared" si="0"/>
        <v>4</v>
      </c>
      <c r="G28">
        <v>102</v>
      </c>
      <c r="H28" t="str">
        <f t="shared" si="1"/>
        <v>Correct</v>
      </c>
      <c r="I28">
        <f t="shared" si="2"/>
        <v>0</v>
      </c>
      <c r="J28">
        <v>27</v>
      </c>
      <c r="K28" t="str">
        <f t="shared" si="3"/>
        <v/>
      </c>
    </row>
    <row r="29" spans="1:13" x14ac:dyDescent="0.3">
      <c r="A29">
        <v>28</v>
      </c>
      <c r="B29" t="s">
        <v>488</v>
      </c>
      <c r="C29" t="s">
        <v>29</v>
      </c>
      <c r="D29" s="5" t="s">
        <v>489</v>
      </c>
      <c r="E29" t="s">
        <v>29</v>
      </c>
      <c r="F29">
        <f t="shared" si="0"/>
        <v>4</v>
      </c>
      <c r="G29">
        <v>200</v>
      </c>
      <c r="H29" t="str">
        <f t="shared" si="1"/>
        <v>Correct</v>
      </c>
      <c r="I29">
        <f t="shared" si="2"/>
        <v>0</v>
      </c>
      <c r="J29">
        <v>28</v>
      </c>
      <c r="K29" t="str">
        <f t="shared" si="3"/>
        <v/>
      </c>
    </row>
    <row r="30" spans="1:13" x14ac:dyDescent="0.3">
      <c r="A30">
        <v>29</v>
      </c>
      <c r="B30" t="s">
        <v>490</v>
      </c>
      <c r="C30" t="s">
        <v>26</v>
      </c>
      <c r="D30" s="5" t="s">
        <v>491</v>
      </c>
      <c r="E30" t="s">
        <v>23</v>
      </c>
      <c r="F30">
        <f t="shared" si="0"/>
        <v>-1</v>
      </c>
      <c r="G30">
        <v>323</v>
      </c>
      <c r="H30" t="str">
        <f t="shared" si="1"/>
        <v>Incorrect</v>
      </c>
      <c r="I30">
        <f t="shared" si="2"/>
        <v>1</v>
      </c>
      <c r="J30">
        <v>29</v>
      </c>
      <c r="K30">
        <f t="shared" si="3"/>
        <v>29</v>
      </c>
      <c r="L30">
        <v>29</v>
      </c>
      <c r="M30" t="s">
        <v>492</v>
      </c>
    </row>
    <row r="31" spans="1:13" x14ac:dyDescent="0.3">
      <c r="A31">
        <v>30</v>
      </c>
      <c r="B31" t="s">
        <v>493</v>
      </c>
      <c r="C31" t="s">
        <v>23</v>
      </c>
      <c r="D31" s="5" t="s">
        <v>494</v>
      </c>
      <c r="E31" t="s">
        <v>32</v>
      </c>
      <c r="F31">
        <f t="shared" si="0"/>
        <v>-1</v>
      </c>
      <c r="G31">
        <v>206</v>
      </c>
      <c r="H31" t="str">
        <f t="shared" si="1"/>
        <v>Incorrect</v>
      </c>
      <c r="I31">
        <f t="shared" si="2"/>
        <v>1</v>
      </c>
      <c r="J31">
        <v>30</v>
      </c>
      <c r="K31">
        <f t="shared" si="3"/>
        <v>30</v>
      </c>
      <c r="M31" t="s">
        <v>495</v>
      </c>
    </row>
    <row r="32" spans="1:13" x14ac:dyDescent="0.3">
      <c r="F32">
        <f>SUM(F2:F31)</f>
        <v>75</v>
      </c>
      <c r="I32">
        <f>SUM(I2:I31)</f>
        <v>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2"/>
  <sheetViews>
    <sheetView workbookViewId="0"/>
  </sheetViews>
  <sheetFormatPr defaultRowHeight="14.4" x14ac:dyDescent="0.3"/>
  <cols>
    <col min="1" max="1" width="15" customWidth="1"/>
    <col min="2" max="2" width="50" customWidth="1"/>
    <col min="3" max="3" width="23"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11</v>
      </c>
      <c r="D1" t="s">
        <v>12</v>
      </c>
      <c r="E1" t="s">
        <v>13</v>
      </c>
      <c r="F1" t="s">
        <v>14</v>
      </c>
      <c r="G1" t="s">
        <v>15</v>
      </c>
      <c r="H1" t="s">
        <v>16</v>
      </c>
      <c r="I1" t="s">
        <v>17</v>
      </c>
      <c r="J1" t="s">
        <v>18</v>
      </c>
      <c r="K1" t="s">
        <v>19</v>
      </c>
      <c r="L1" t="s">
        <v>20</v>
      </c>
      <c r="M1" t="s">
        <v>21</v>
      </c>
    </row>
    <row r="2" spans="1:13" x14ac:dyDescent="0.3">
      <c r="A2">
        <v>1</v>
      </c>
      <c r="B2" t="s">
        <v>496</v>
      </c>
      <c r="C2" t="s">
        <v>26</v>
      </c>
      <c r="D2" t="s">
        <v>497</v>
      </c>
      <c r="E2" t="s">
        <v>26</v>
      </c>
      <c r="F2">
        <f t="shared" ref="F2:F31" si="0">IF(C2&lt;&gt;E2,-1,4)</f>
        <v>4</v>
      </c>
      <c r="G2">
        <v>140</v>
      </c>
      <c r="H2" t="str">
        <f t="shared" ref="H2:H31" si="1">IF(F2=4,"Correct",IF(F2=0,"Unattempted","Incorrect"))</f>
        <v>Correct</v>
      </c>
      <c r="I2">
        <f t="shared" ref="I2:I31" si="2">COUNTIF(H2,"=Unattempted") + COUNTIF(H2,"=Incorrect")</f>
        <v>0</v>
      </c>
      <c r="J2">
        <v>1</v>
      </c>
      <c r="K2" t="str">
        <f t="shared" ref="K2:K31" si="3">IF(I2,J2,"")</f>
        <v/>
      </c>
    </row>
    <row r="3" spans="1:13" x14ac:dyDescent="0.3">
      <c r="A3">
        <v>2</v>
      </c>
      <c r="B3" t="s">
        <v>498</v>
      </c>
      <c r="C3" t="s">
        <v>26</v>
      </c>
      <c r="D3" t="s">
        <v>499</v>
      </c>
      <c r="E3" t="s">
        <v>26</v>
      </c>
      <c r="F3">
        <f t="shared" si="0"/>
        <v>4</v>
      </c>
      <c r="G3">
        <v>162</v>
      </c>
      <c r="H3" t="str">
        <f t="shared" si="1"/>
        <v>Correct</v>
      </c>
      <c r="I3">
        <f t="shared" si="2"/>
        <v>0</v>
      </c>
      <c r="J3">
        <v>2</v>
      </c>
      <c r="K3" t="str">
        <f t="shared" si="3"/>
        <v/>
      </c>
      <c r="L3">
        <v>2</v>
      </c>
      <c r="M3" t="s">
        <v>500</v>
      </c>
    </row>
    <row r="4" spans="1:13" x14ac:dyDescent="0.3">
      <c r="A4">
        <v>3</v>
      </c>
      <c r="B4" t="s">
        <v>501</v>
      </c>
      <c r="C4" t="s">
        <v>29</v>
      </c>
      <c r="D4" t="s">
        <v>502</v>
      </c>
      <c r="E4" t="s">
        <v>29</v>
      </c>
      <c r="F4">
        <f t="shared" si="0"/>
        <v>4</v>
      </c>
      <c r="G4">
        <v>423</v>
      </c>
      <c r="H4" t="str">
        <f t="shared" si="1"/>
        <v>Correct</v>
      </c>
      <c r="I4">
        <f t="shared" si="2"/>
        <v>0</v>
      </c>
      <c r="J4">
        <v>3</v>
      </c>
      <c r="K4" t="str">
        <f t="shared" si="3"/>
        <v/>
      </c>
    </row>
    <row r="5" spans="1:13" x14ac:dyDescent="0.3">
      <c r="A5">
        <v>4</v>
      </c>
      <c r="B5" t="s">
        <v>503</v>
      </c>
      <c r="C5" t="s">
        <v>23</v>
      </c>
      <c r="D5" t="s">
        <v>504</v>
      </c>
      <c r="E5" t="s">
        <v>23</v>
      </c>
      <c r="F5">
        <f t="shared" si="0"/>
        <v>4</v>
      </c>
      <c r="G5">
        <v>185</v>
      </c>
      <c r="H5" t="str">
        <f t="shared" si="1"/>
        <v>Correct</v>
      </c>
      <c r="I5">
        <f t="shared" si="2"/>
        <v>0</v>
      </c>
      <c r="J5">
        <v>4</v>
      </c>
      <c r="K5" t="str">
        <f t="shared" si="3"/>
        <v/>
      </c>
    </row>
    <row r="6" spans="1:13" x14ac:dyDescent="0.3">
      <c r="A6">
        <v>5</v>
      </c>
      <c r="B6" t="s">
        <v>505</v>
      </c>
      <c r="C6" t="s">
        <v>29</v>
      </c>
      <c r="D6" t="s">
        <v>506</v>
      </c>
      <c r="E6" t="s">
        <v>29</v>
      </c>
      <c r="F6">
        <f t="shared" si="0"/>
        <v>4</v>
      </c>
      <c r="G6">
        <v>438</v>
      </c>
      <c r="H6" t="str">
        <f t="shared" si="1"/>
        <v>Correct</v>
      </c>
      <c r="I6">
        <f t="shared" si="2"/>
        <v>0</v>
      </c>
      <c r="J6">
        <v>5</v>
      </c>
      <c r="K6" t="str">
        <f t="shared" si="3"/>
        <v/>
      </c>
    </row>
    <row r="7" spans="1:13" x14ac:dyDescent="0.3">
      <c r="A7">
        <v>6</v>
      </c>
      <c r="B7" t="s">
        <v>507</v>
      </c>
      <c r="C7" t="s">
        <v>29</v>
      </c>
      <c r="D7" t="s">
        <v>508</v>
      </c>
      <c r="E7" t="s">
        <v>29</v>
      </c>
      <c r="F7">
        <f t="shared" si="0"/>
        <v>4</v>
      </c>
      <c r="G7">
        <v>60</v>
      </c>
      <c r="H7" t="str">
        <f t="shared" si="1"/>
        <v>Correct</v>
      </c>
      <c r="I7">
        <f t="shared" si="2"/>
        <v>0</v>
      </c>
      <c r="J7">
        <v>6</v>
      </c>
      <c r="K7" t="str">
        <f t="shared" si="3"/>
        <v/>
      </c>
      <c r="L7">
        <v>6</v>
      </c>
      <c r="M7" t="s">
        <v>509</v>
      </c>
    </row>
    <row r="8" spans="1:13" x14ac:dyDescent="0.3">
      <c r="A8">
        <v>7</v>
      </c>
      <c r="B8" t="s">
        <v>510</v>
      </c>
      <c r="C8" t="s">
        <v>29</v>
      </c>
      <c r="D8" t="s">
        <v>511</v>
      </c>
      <c r="E8" t="s">
        <v>29</v>
      </c>
      <c r="F8">
        <f t="shared" si="0"/>
        <v>4</v>
      </c>
      <c r="G8">
        <v>66</v>
      </c>
      <c r="H8" t="str">
        <f t="shared" si="1"/>
        <v>Correct</v>
      </c>
      <c r="I8">
        <f t="shared" si="2"/>
        <v>0</v>
      </c>
      <c r="J8">
        <v>7</v>
      </c>
      <c r="K8" t="str">
        <f t="shared" si="3"/>
        <v/>
      </c>
      <c r="L8">
        <v>7</v>
      </c>
      <c r="M8" t="s">
        <v>512</v>
      </c>
    </row>
    <row r="9" spans="1:13" x14ac:dyDescent="0.3">
      <c r="A9">
        <v>8</v>
      </c>
      <c r="B9" t="s">
        <v>513</v>
      </c>
      <c r="C9" t="s">
        <v>26</v>
      </c>
      <c r="D9" t="s">
        <v>514</v>
      </c>
      <c r="E9" t="s">
        <v>26</v>
      </c>
      <c r="F9">
        <f t="shared" si="0"/>
        <v>4</v>
      </c>
      <c r="G9">
        <v>203</v>
      </c>
      <c r="H9" t="str">
        <f t="shared" si="1"/>
        <v>Correct</v>
      </c>
      <c r="I9">
        <f t="shared" si="2"/>
        <v>0</v>
      </c>
      <c r="J9">
        <v>8</v>
      </c>
      <c r="K9" t="str">
        <f t="shared" si="3"/>
        <v/>
      </c>
    </row>
    <row r="10" spans="1:13" x14ac:dyDescent="0.3">
      <c r="A10">
        <v>9</v>
      </c>
      <c r="B10" t="s">
        <v>515</v>
      </c>
      <c r="C10" t="s">
        <v>32</v>
      </c>
      <c r="D10" t="s">
        <v>516</v>
      </c>
      <c r="E10" t="s">
        <v>32</v>
      </c>
      <c r="F10">
        <f t="shared" si="0"/>
        <v>4</v>
      </c>
      <c r="G10">
        <v>328</v>
      </c>
      <c r="H10" t="str">
        <f t="shared" si="1"/>
        <v>Correct</v>
      </c>
      <c r="I10">
        <f t="shared" si="2"/>
        <v>0</v>
      </c>
      <c r="J10">
        <v>9</v>
      </c>
      <c r="K10" t="str">
        <f t="shared" si="3"/>
        <v/>
      </c>
    </row>
    <row r="11" spans="1:13" x14ac:dyDescent="0.3">
      <c r="A11">
        <v>10</v>
      </c>
      <c r="B11" t="s">
        <v>517</v>
      </c>
      <c r="C11" t="s">
        <v>23</v>
      </c>
      <c r="D11" t="s">
        <v>87</v>
      </c>
      <c r="E11" t="s">
        <v>23</v>
      </c>
      <c r="F11">
        <f t="shared" si="0"/>
        <v>4</v>
      </c>
      <c r="G11">
        <v>231</v>
      </c>
      <c r="H11" t="str">
        <f t="shared" si="1"/>
        <v>Correct</v>
      </c>
      <c r="I11">
        <f t="shared" si="2"/>
        <v>0</v>
      </c>
      <c r="J11">
        <v>10</v>
      </c>
      <c r="K11" t="str">
        <f t="shared" si="3"/>
        <v/>
      </c>
      <c r="L11">
        <v>10</v>
      </c>
      <c r="M11" t="s">
        <v>518</v>
      </c>
    </row>
    <row r="12" spans="1:13" x14ac:dyDescent="0.3">
      <c r="A12">
        <v>11</v>
      </c>
      <c r="B12" t="s">
        <v>519</v>
      </c>
      <c r="C12" t="s">
        <v>29</v>
      </c>
      <c r="D12" t="s">
        <v>520</v>
      </c>
      <c r="E12" t="s">
        <v>29</v>
      </c>
      <c r="F12">
        <f t="shared" si="0"/>
        <v>4</v>
      </c>
      <c r="G12">
        <v>888</v>
      </c>
      <c r="H12" t="str">
        <f t="shared" si="1"/>
        <v>Correct</v>
      </c>
      <c r="I12">
        <f t="shared" si="2"/>
        <v>0</v>
      </c>
      <c r="J12">
        <v>11</v>
      </c>
      <c r="K12" t="str">
        <f t="shared" si="3"/>
        <v/>
      </c>
      <c r="L12">
        <v>11</v>
      </c>
      <c r="M12" t="s">
        <v>521</v>
      </c>
    </row>
    <row r="13" spans="1:13" x14ac:dyDescent="0.3">
      <c r="A13">
        <v>12</v>
      </c>
      <c r="B13" t="s">
        <v>522</v>
      </c>
      <c r="C13" t="s">
        <v>26</v>
      </c>
      <c r="D13" t="s">
        <v>523</v>
      </c>
      <c r="E13" t="s">
        <v>26</v>
      </c>
      <c r="F13">
        <f t="shared" si="0"/>
        <v>4</v>
      </c>
      <c r="G13">
        <v>430</v>
      </c>
      <c r="H13" t="str">
        <f t="shared" si="1"/>
        <v>Correct</v>
      </c>
      <c r="I13">
        <f t="shared" si="2"/>
        <v>0</v>
      </c>
      <c r="J13">
        <v>12</v>
      </c>
      <c r="K13" t="str">
        <f t="shared" si="3"/>
        <v/>
      </c>
      <c r="L13">
        <v>12</v>
      </c>
      <c r="M13" t="s">
        <v>524</v>
      </c>
    </row>
    <row r="14" spans="1:13" x14ac:dyDescent="0.3">
      <c r="A14">
        <v>13</v>
      </c>
      <c r="B14" t="s">
        <v>525</v>
      </c>
      <c r="C14" t="s">
        <v>23</v>
      </c>
      <c r="D14" t="s">
        <v>526</v>
      </c>
      <c r="E14" t="s">
        <v>23</v>
      </c>
      <c r="F14">
        <f t="shared" si="0"/>
        <v>4</v>
      </c>
      <c r="G14">
        <v>240</v>
      </c>
      <c r="H14" t="str">
        <f t="shared" si="1"/>
        <v>Correct</v>
      </c>
      <c r="I14">
        <f t="shared" si="2"/>
        <v>0</v>
      </c>
      <c r="J14">
        <v>13</v>
      </c>
      <c r="K14" t="str">
        <f t="shared" si="3"/>
        <v/>
      </c>
    </row>
    <row r="15" spans="1:13" x14ac:dyDescent="0.3">
      <c r="A15">
        <v>14</v>
      </c>
      <c r="B15" t="s">
        <v>527</v>
      </c>
      <c r="C15" t="s">
        <v>32</v>
      </c>
      <c r="D15" t="s">
        <v>528</v>
      </c>
      <c r="E15" t="s">
        <v>32</v>
      </c>
      <c r="F15">
        <f t="shared" si="0"/>
        <v>4</v>
      </c>
      <c r="G15">
        <v>150</v>
      </c>
      <c r="H15" t="str">
        <f t="shared" si="1"/>
        <v>Correct</v>
      </c>
      <c r="I15">
        <f t="shared" si="2"/>
        <v>0</v>
      </c>
      <c r="J15">
        <v>14</v>
      </c>
      <c r="K15" t="str">
        <f t="shared" si="3"/>
        <v/>
      </c>
      <c r="L15">
        <v>14</v>
      </c>
      <c r="M15" t="s">
        <v>529</v>
      </c>
    </row>
    <row r="16" spans="1:13" x14ac:dyDescent="0.3">
      <c r="A16">
        <v>15</v>
      </c>
      <c r="B16" t="s">
        <v>530</v>
      </c>
      <c r="C16" t="s">
        <v>32</v>
      </c>
      <c r="D16" t="s">
        <v>531</v>
      </c>
      <c r="E16" t="s">
        <v>32</v>
      </c>
      <c r="F16">
        <f t="shared" si="0"/>
        <v>4</v>
      </c>
      <c r="G16">
        <v>77</v>
      </c>
      <c r="H16" t="str">
        <f t="shared" si="1"/>
        <v>Correct</v>
      </c>
      <c r="I16">
        <f t="shared" si="2"/>
        <v>0</v>
      </c>
      <c r="J16">
        <v>15</v>
      </c>
      <c r="K16" t="str">
        <f t="shared" si="3"/>
        <v/>
      </c>
    </row>
    <row r="17" spans="1:13" x14ac:dyDescent="0.3">
      <c r="A17">
        <v>16</v>
      </c>
      <c r="B17" t="s">
        <v>532</v>
      </c>
      <c r="C17" t="s">
        <v>29</v>
      </c>
      <c r="D17" t="s">
        <v>533</v>
      </c>
      <c r="E17" t="s">
        <v>29</v>
      </c>
      <c r="F17">
        <f t="shared" si="0"/>
        <v>4</v>
      </c>
      <c r="G17">
        <v>330</v>
      </c>
      <c r="H17" t="str">
        <f t="shared" si="1"/>
        <v>Correct</v>
      </c>
      <c r="I17">
        <f t="shared" si="2"/>
        <v>0</v>
      </c>
      <c r="J17">
        <v>16</v>
      </c>
      <c r="K17" t="str">
        <f t="shared" si="3"/>
        <v/>
      </c>
    </row>
    <row r="18" spans="1:13" x14ac:dyDescent="0.3">
      <c r="A18">
        <v>17</v>
      </c>
      <c r="B18" t="s">
        <v>534</v>
      </c>
      <c r="C18" t="s">
        <v>26</v>
      </c>
      <c r="D18" t="s">
        <v>535</v>
      </c>
      <c r="E18" t="s">
        <v>26</v>
      </c>
      <c r="F18">
        <f t="shared" si="0"/>
        <v>4</v>
      </c>
      <c r="G18">
        <v>338</v>
      </c>
      <c r="H18" t="str">
        <f t="shared" si="1"/>
        <v>Correct</v>
      </c>
      <c r="I18">
        <f t="shared" si="2"/>
        <v>0</v>
      </c>
      <c r="J18">
        <v>17</v>
      </c>
      <c r="K18" t="str">
        <f t="shared" si="3"/>
        <v/>
      </c>
      <c r="L18">
        <v>17</v>
      </c>
      <c r="M18" t="s">
        <v>536</v>
      </c>
    </row>
    <row r="19" spans="1:13" x14ac:dyDescent="0.3">
      <c r="A19">
        <v>18</v>
      </c>
      <c r="B19" t="s">
        <v>537</v>
      </c>
      <c r="C19" t="s">
        <v>26</v>
      </c>
      <c r="D19" t="s">
        <v>538</v>
      </c>
      <c r="E19" t="s">
        <v>26</v>
      </c>
      <c r="F19">
        <f t="shared" si="0"/>
        <v>4</v>
      </c>
      <c r="G19">
        <v>201</v>
      </c>
      <c r="H19" t="str">
        <f t="shared" si="1"/>
        <v>Correct</v>
      </c>
      <c r="I19">
        <f t="shared" si="2"/>
        <v>0</v>
      </c>
      <c r="J19">
        <v>18</v>
      </c>
      <c r="K19" t="str">
        <f t="shared" si="3"/>
        <v/>
      </c>
    </row>
    <row r="20" spans="1:13" x14ac:dyDescent="0.3">
      <c r="A20">
        <v>19</v>
      </c>
      <c r="B20" t="s">
        <v>539</v>
      </c>
      <c r="C20" t="s">
        <v>26</v>
      </c>
      <c r="D20" t="s">
        <v>540</v>
      </c>
      <c r="E20" t="s">
        <v>26</v>
      </c>
      <c r="F20">
        <f t="shared" si="0"/>
        <v>4</v>
      </c>
      <c r="G20">
        <v>207</v>
      </c>
      <c r="H20" t="str">
        <f t="shared" si="1"/>
        <v>Correct</v>
      </c>
      <c r="I20">
        <f t="shared" si="2"/>
        <v>0</v>
      </c>
      <c r="J20">
        <v>19</v>
      </c>
      <c r="K20" t="str">
        <f t="shared" si="3"/>
        <v/>
      </c>
      <c r="L20">
        <v>19</v>
      </c>
      <c r="M20" t="s">
        <v>541</v>
      </c>
    </row>
    <row r="21" spans="1:13" x14ac:dyDescent="0.3">
      <c r="A21">
        <v>20</v>
      </c>
      <c r="B21" t="s">
        <v>542</v>
      </c>
      <c r="C21" t="s">
        <v>23</v>
      </c>
      <c r="D21" t="s">
        <v>543</v>
      </c>
      <c r="E21" t="s">
        <v>23</v>
      </c>
      <c r="F21">
        <f t="shared" si="0"/>
        <v>4</v>
      </c>
      <c r="G21">
        <v>1093</v>
      </c>
      <c r="H21" t="str">
        <f t="shared" si="1"/>
        <v>Correct</v>
      </c>
      <c r="I21">
        <f t="shared" si="2"/>
        <v>0</v>
      </c>
      <c r="J21">
        <v>20</v>
      </c>
      <c r="K21" t="str">
        <f t="shared" si="3"/>
        <v/>
      </c>
      <c r="L21">
        <v>20</v>
      </c>
      <c r="M21" t="s">
        <v>544</v>
      </c>
    </row>
    <row r="22" spans="1:13" x14ac:dyDescent="0.3">
      <c r="A22">
        <v>21</v>
      </c>
      <c r="B22" t="s">
        <v>545</v>
      </c>
      <c r="C22" t="s">
        <v>23</v>
      </c>
      <c r="D22" t="s">
        <v>516</v>
      </c>
      <c r="E22" t="s">
        <v>23</v>
      </c>
      <c r="F22">
        <f t="shared" si="0"/>
        <v>4</v>
      </c>
      <c r="G22">
        <v>70</v>
      </c>
      <c r="H22" t="str">
        <f t="shared" si="1"/>
        <v>Correct</v>
      </c>
      <c r="I22">
        <f t="shared" si="2"/>
        <v>0</v>
      </c>
      <c r="J22">
        <v>21</v>
      </c>
      <c r="K22" t="str">
        <f t="shared" si="3"/>
        <v/>
      </c>
    </row>
    <row r="23" spans="1:13" x14ac:dyDescent="0.3">
      <c r="A23">
        <v>22</v>
      </c>
      <c r="B23" t="s">
        <v>546</v>
      </c>
      <c r="C23" t="s">
        <v>32</v>
      </c>
      <c r="D23" t="s">
        <v>547</v>
      </c>
      <c r="E23" t="s">
        <v>32</v>
      </c>
      <c r="F23">
        <f t="shared" si="0"/>
        <v>4</v>
      </c>
      <c r="G23">
        <v>75</v>
      </c>
      <c r="H23" t="str">
        <f t="shared" si="1"/>
        <v>Correct</v>
      </c>
      <c r="I23">
        <f t="shared" si="2"/>
        <v>0</v>
      </c>
      <c r="J23">
        <v>22</v>
      </c>
      <c r="K23" t="str">
        <f t="shared" si="3"/>
        <v/>
      </c>
    </row>
    <row r="24" spans="1:13" x14ac:dyDescent="0.3">
      <c r="A24">
        <v>23</v>
      </c>
      <c r="B24" t="s">
        <v>548</v>
      </c>
      <c r="C24" t="s">
        <v>29</v>
      </c>
      <c r="D24" t="s">
        <v>549</v>
      </c>
      <c r="E24" t="s">
        <v>29</v>
      </c>
      <c r="F24">
        <f t="shared" si="0"/>
        <v>4</v>
      </c>
      <c r="G24">
        <v>39</v>
      </c>
      <c r="H24" t="str">
        <f t="shared" si="1"/>
        <v>Correct</v>
      </c>
      <c r="I24">
        <f t="shared" si="2"/>
        <v>0</v>
      </c>
      <c r="J24">
        <v>23</v>
      </c>
      <c r="K24" t="str">
        <f t="shared" si="3"/>
        <v/>
      </c>
    </row>
    <row r="25" spans="1:13" x14ac:dyDescent="0.3">
      <c r="A25">
        <v>24</v>
      </c>
      <c r="B25" t="s">
        <v>550</v>
      </c>
      <c r="C25" t="s">
        <v>29</v>
      </c>
      <c r="D25" t="s">
        <v>551</v>
      </c>
      <c r="E25" t="s">
        <v>29</v>
      </c>
      <c r="F25">
        <f t="shared" si="0"/>
        <v>4</v>
      </c>
      <c r="G25">
        <v>140</v>
      </c>
      <c r="H25" t="str">
        <f t="shared" si="1"/>
        <v>Correct</v>
      </c>
      <c r="I25">
        <f t="shared" si="2"/>
        <v>0</v>
      </c>
      <c r="J25">
        <v>24</v>
      </c>
      <c r="K25" t="str">
        <f t="shared" si="3"/>
        <v/>
      </c>
    </row>
    <row r="26" spans="1:13" x14ac:dyDescent="0.3">
      <c r="A26">
        <v>25</v>
      </c>
      <c r="B26" t="s">
        <v>552</v>
      </c>
      <c r="C26" t="s">
        <v>32</v>
      </c>
      <c r="D26">
        <v>3</v>
      </c>
      <c r="E26" t="s">
        <v>32</v>
      </c>
      <c r="F26">
        <f t="shared" si="0"/>
        <v>4</v>
      </c>
      <c r="G26">
        <v>86</v>
      </c>
      <c r="H26" t="str">
        <f t="shared" si="1"/>
        <v>Correct</v>
      </c>
      <c r="I26">
        <f t="shared" si="2"/>
        <v>0</v>
      </c>
      <c r="J26">
        <v>25</v>
      </c>
      <c r="K26" t="str">
        <f t="shared" si="3"/>
        <v/>
      </c>
      <c r="L26">
        <v>25</v>
      </c>
      <c r="M26" t="s">
        <v>553</v>
      </c>
    </row>
    <row r="27" spans="1:13" x14ac:dyDescent="0.3">
      <c r="A27">
        <v>26</v>
      </c>
      <c r="B27" t="s">
        <v>554</v>
      </c>
      <c r="C27" t="s">
        <v>29</v>
      </c>
      <c r="D27">
        <v>3</v>
      </c>
      <c r="E27" t="s">
        <v>29</v>
      </c>
      <c r="F27">
        <f t="shared" si="0"/>
        <v>4</v>
      </c>
      <c r="G27">
        <v>259</v>
      </c>
      <c r="H27" t="str">
        <f t="shared" si="1"/>
        <v>Correct</v>
      </c>
      <c r="I27">
        <f t="shared" si="2"/>
        <v>0</v>
      </c>
      <c r="J27">
        <v>26</v>
      </c>
      <c r="K27" t="str">
        <f t="shared" si="3"/>
        <v/>
      </c>
      <c r="L27">
        <v>26</v>
      </c>
      <c r="M27" t="s">
        <v>555</v>
      </c>
    </row>
    <row r="28" spans="1:13" x14ac:dyDescent="0.3">
      <c r="A28">
        <v>27</v>
      </c>
      <c r="B28" t="s">
        <v>556</v>
      </c>
      <c r="C28" t="s">
        <v>29</v>
      </c>
      <c r="D28" t="s">
        <v>557</v>
      </c>
      <c r="E28" t="s">
        <v>29</v>
      </c>
      <c r="F28">
        <f t="shared" si="0"/>
        <v>4</v>
      </c>
      <c r="G28">
        <v>75</v>
      </c>
      <c r="H28" t="str">
        <f t="shared" si="1"/>
        <v>Correct</v>
      </c>
      <c r="I28">
        <f t="shared" si="2"/>
        <v>0</v>
      </c>
      <c r="J28">
        <v>27</v>
      </c>
      <c r="K28" t="str">
        <f t="shared" si="3"/>
        <v/>
      </c>
    </row>
    <row r="29" spans="1:13" x14ac:dyDescent="0.3">
      <c r="A29">
        <v>28</v>
      </c>
      <c r="B29" t="s">
        <v>558</v>
      </c>
      <c r="C29" t="s">
        <v>23</v>
      </c>
      <c r="D29" t="s">
        <v>559</v>
      </c>
      <c r="E29" t="s">
        <v>23</v>
      </c>
      <c r="F29">
        <f t="shared" si="0"/>
        <v>4</v>
      </c>
      <c r="G29">
        <v>70</v>
      </c>
      <c r="H29" t="str">
        <f t="shared" si="1"/>
        <v>Correct</v>
      </c>
      <c r="I29">
        <f t="shared" si="2"/>
        <v>0</v>
      </c>
      <c r="J29">
        <v>28</v>
      </c>
      <c r="K29" t="str">
        <f t="shared" si="3"/>
        <v/>
      </c>
    </row>
    <row r="30" spans="1:13" x14ac:dyDescent="0.3">
      <c r="A30">
        <v>29</v>
      </c>
      <c r="B30" t="s">
        <v>560</v>
      </c>
      <c r="C30" t="s">
        <v>32</v>
      </c>
      <c r="D30" t="s">
        <v>561</v>
      </c>
      <c r="E30" t="s">
        <v>32</v>
      </c>
      <c r="F30">
        <f t="shared" si="0"/>
        <v>4</v>
      </c>
      <c r="G30">
        <v>121</v>
      </c>
      <c r="H30" t="str">
        <f t="shared" si="1"/>
        <v>Correct</v>
      </c>
      <c r="I30">
        <f t="shared" si="2"/>
        <v>0</v>
      </c>
      <c r="J30">
        <v>29</v>
      </c>
      <c r="K30" t="str">
        <f t="shared" si="3"/>
        <v/>
      </c>
    </row>
    <row r="31" spans="1:13" x14ac:dyDescent="0.3">
      <c r="A31">
        <v>30</v>
      </c>
      <c r="B31" t="s">
        <v>562</v>
      </c>
      <c r="C31" t="s">
        <v>29</v>
      </c>
      <c r="D31" t="s">
        <v>563</v>
      </c>
      <c r="E31" t="s">
        <v>29</v>
      </c>
      <c r="F31">
        <f t="shared" si="0"/>
        <v>4</v>
      </c>
      <c r="G31">
        <v>75</v>
      </c>
      <c r="H31" t="str">
        <f t="shared" si="1"/>
        <v>Correct</v>
      </c>
      <c r="I31">
        <f t="shared" si="2"/>
        <v>0</v>
      </c>
      <c r="J31">
        <v>30</v>
      </c>
      <c r="K31" t="str">
        <f t="shared" si="3"/>
        <v/>
      </c>
    </row>
    <row r="32" spans="1:13" x14ac:dyDescent="0.3">
      <c r="F32">
        <f>SUM(F2:F31)</f>
        <v>120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2"/>
  <sheetViews>
    <sheetView workbookViewId="0"/>
  </sheetViews>
  <sheetFormatPr defaultRowHeight="14.4" x14ac:dyDescent="0.3"/>
  <cols>
    <col min="1" max="1" width="15" customWidth="1"/>
    <col min="2" max="2" width="50" customWidth="1"/>
    <col min="3" max="3" width="16"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s="5" t="s">
        <v>9</v>
      </c>
      <c r="B1" s="5" t="s">
        <v>10</v>
      </c>
      <c r="C1" s="5" t="s">
        <v>564</v>
      </c>
      <c r="D1" s="5" t="s">
        <v>565</v>
      </c>
      <c r="E1" t="s">
        <v>13</v>
      </c>
      <c r="F1" t="s">
        <v>14</v>
      </c>
      <c r="G1" t="s">
        <v>15</v>
      </c>
      <c r="H1" t="s">
        <v>16</v>
      </c>
      <c r="I1" t="s">
        <v>17</v>
      </c>
      <c r="J1" t="s">
        <v>18</v>
      </c>
      <c r="K1" t="s">
        <v>19</v>
      </c>
      <c r="L1" t="s">
        <v>20</v>
      </c>
      <c r="M1" t="s">
        <v>21</v>
      </c>
    </row>
    <row r="2" spans="1:13" x14ac:dyDescent="0.3">
      <c r="A2" s="5" t="s">
        <v>566</v>
      </c>
      <c r="B2" s="5" t="s">
        <v>567</v>
      </c>
      <c r="C2" s="5" t="s">
        <v>23</v>
      </c>
      <c r="D2" s="5" t="s">
        <v>568</v>
      </c>
      <c r="E2" t="s">
        <v>23</v>
      </c>
      <c r="F2">
        <f t="shared" ref="F2:F31" si="0">IF(C2&lt;&gt;E2,-1,4)</f>
        <v>4</v>
      </c>
      <c r="G2">
        <v>351</v>
      </c>
      <c r="H2" t="str">
        <f t="shared" ref="H2:H31" si="1">IF(F2=4,"Correct",IF(F2=0,"Unattempted","Incorrect"))</f>
        <v>Correct</v>
      </c>
      <c r="I2">
        <f t="shared" ref="I2:I31" si="2">COUNTIF(H2,"=Unattempted") + COUNTIF(H2,"=Incorrect")</f>
        <v>0</v>
      </c>
      <c r="J2">
        <v>1</v>
      </c>
      <c r="K2" t="str">
        <f t="shared" ref="K2:K31" si="3">IF(I2,J2,"")</f>
        <v/>
      </c>
    </row>
    <row r="3" spans="1:13" x14ac:dyDescent="0.3">
      <c r="A3" s="5" t="s">
        <v>569</v>
      </c>
      <c r="B3" s="5" t="s">
        <v>570</v>
      </c>
      <c r="C3" s="5" t="s">
        <v>26</v>
      </c>
      <c r="D3" s="5" t="s">
        <v>438</v>
      </c>
      <c r="E3" t="s">
        <v>23</v>
      </c>
      <c r="F3">
        <f t="shared" si="0"/>
        <v>-1</v>
      </c>
      <c r="G3">
        <v>479</v>
      </c>
      <c r="H3" t="str">
        <f t="shared" si="1"/>
        <v>Incorrect</v>
      </c>
      <c r="I3">
        <f t="shared" si="2"/>
        <v>1</v>
      </c>
      <c r="J3">
        <v>2</v>
      </c>
      <c r="K3">
        <f t="shared" si="3"/>
        <v>2</v>
      </c>
      <c r="M3" t="s">
        <v>571</v>
      </c>
    </row>
    <row r="4" spans="1:13" x14ac:dyDescent="0.3">
      <c r="A4" s="5" t="s">
        <v>446</v>
      </c>
      <c r="B4" s="5" t="s">
        <v>572</v>
      </c>
      <c r="C4" s="5" t="s">
        <v>26</v>
      </c>
      <c r="D4" s="5" t="s">
        <v>573</v>
      </c>
      <c r="E4" t="s">
        <v>26</v>
      </c>
      <c r="F4">
        <f t="shared" si="0"/>
        <v>4</v>
      </c>
      <c r="G4">
        <v>187</v>
      </c>
      <c r="H4" t="str">
        <f t="shared" si="1"/>
        <v>Correct</v>
      </c>
      <c r="I4">
        <f t="shared" si="2"/>
        <v>0</v>
      </c>
      <c r="J4">
        <v>3</v>
      </c>
      <c r="K4" t="str">
        <f t="shared" si="3"/>
        <v/>
      </c>
    </row>
    <row r="5" spans="1:13" x14ac:dyDescent="0.3">
      <c r="A5" s="5" t="s">
        <v>574</v>
      </c>
      <c r="B5" s="5" t="s">
        <v>575</v>
      </c>
      <c r="C5" s="5" t="s">
        <v>29</v>
      </c>
      <c r="D5" s="5" t="s">
        <v>576</v>
      </c>
      <c r="E5" t="s">
        <v>29</v>
      </c>
      <c r="F5">
        <f t="shared" si="0"/>
        <v>4</v>
      </c>
      <c r="G5">
        <v>106</v>
      </c>
      <c r="H5" t="str">
        <f t="shared" si="1"/>
        <v>Correct</v>
      </c>
      <c r="I5">
        <f t="shared" si="2"/>
        <v>0</v>
      </c>
      <c r="J5">
        <v>4</v>
      </c>
      <c r="K5" t="str">
        <f t="shared" si="3"/>
        <v/>
      </c>
    </row>
    <row r="6" spans="1:13" x14ac:dyDescent="0.3">
      <c r="A6" s="5" t="s">
        <v>577</v>
      </c>
      <c r="B6" s="5" t="s">
        <v>578</v>
      </c>
      <c r="C6" s="5" t="s">
        <v>23</v>
      </c>
      <c r="D6" s="5" t="s">
        <v>579</v>
      </c>
      <c r="E6" t="s">
        <v>23</v>
      </c>
      <c r="F6">
        <f t="shared" si="0"/>
        <v>4</v>
      </c>
      <c r="G6">
        <v>186</v>
      </c>
      <c r="H6" t="str">
        <f t="shared" si="1"/>
        <v>Correct</v>
      </c>
      <c r="I6">
        <f t="shared" si="2"/>
        <v>0</v>
      </c>
      <c r="J6">
        <v>5</v>
      </c>
      <c r="K6" t="str">
        <f t="shared" si="3"/>
        <v/>
      </c>
    </row>
    <row r="7" spans="1:13" x14ac:dyDescent="0.3">
      <c r="A7" s="5" t="s">
        <v>440</v>
      </c>
      <c r="B7" s="5" t="s">
        <v>580</v>
      </c>
      <c r="C7" s="5" t="s">
        <v>23</v>
      </c>
      <c r="D7" s="5" t="s">
        <v>581</v>
      </c>
      <c r="E7" t="s">
        <v>23</v>
      </c>
      <c r="F7">
        <f t="shared" si="0"/>
        <v>4</v>
      </c>
      <c r="G7">
        <v>324</v>
      </c>
      <c r="H7" t="str">
        <f t="shared" si="1"/>
        <v>Correct</v>
      </c>
      <c r="I7">
        <f t="shared" si="2"/>
        <v>0</v>
      </c>
      <c r="J7">
        <v>6</v>
      </c>
      <c r="K7" t="str">
        <f t="shared" si="3"/>
        <v/>
      </c>
    </row>
    <row r="8" spans="1:13" x14ac:dyDescent="0.3">
      <c r="A8" s="5" t="s">
        <v>582</v>
      </c>
      <c r="B8" s="5" t="s">
        <v>583</v>
      </c>
      <c r="C8" s="5" t="s">
        <v>26</v>
      </c>
      <c r="D8" s="5" t="s">
        <v>584</v>
      </c>
      <c r="E8" t="s">
        <v>26</v>
      </c>
      <c r="F8">
        <f t="shared" si="0"/>
        <v>4</v>
      </c>
      <c r="G8">
        <v>3</v>
      </c>
      <c r="H8" t="str">
        <f t="shared" si="1"/>
        <v>Correct</v>
      </c>
      <c r="I8">
        <f t="shared" si="2"/>
        <v>0</v>
      </c>
      <c r="J8">
        <v>7</v>
      </c>
      <c r="K8" t="str">
        <f t="shared" si="3"/>
        <v/>
      </c>
    </row>
    <row r="9" spans="1:13" x14ac:dyDescent="0.3">
      <c r="A9" s="5" t="s">
        <v>585</v>
      </c>
      <c r="B9" s="5" t="s">
        <v>586</v>
      </c>
      <c r="C9" s="5" t="s">
        <v>32</v>
      </c>
      <c r="D9" s="5" t="s">
        <v>587</v>
      </c>
      <c r="E9" t="s">
        <v>32</v>
      </c>
      <c r="F9">
        <f t="shared" si="0"/>
        <v>4</v>
      </c>
      <c r="G9">
        <v>122</v>
      </c>
      <c r="H9" t="str">
        <f t="shared" si="1"/>
        <v>Correct</v>
      </c>
      <c r="I9">
        <f t="shared" si="2"/>
        <v>0</v>
      </c>
      <c r="J9">
        <v>8</v>
      </c>
      <c r="K9" t="str">
        <f t="shared" si="3"/>
        <v/>
      </c>
    </row>
    <row r="10" spans="1:13" x14ac:dyDescent="0.3">
      <c r="A10" s="5" t="s">
        <v>588</v>
      </c>
      <c r="B10" s="5" t="s">
        <v>589</v>
      </c>
      <c r="C10" s="5" t="s">
        <v>26</v>
      </c>
      <c r="D10" s="5" t="s">
        <v>566</v>
      </c>
      <c r="E10" t="s">
        <v>26</v>
      </c>
      <c r="F10">
        <f t="shared" si="0"/>
        <v>4</v>
      </c>
      <c r="G10">
        <v>118</v>
      </c>
      <c r="H10" t="str">
        <f t="shared" si="1"/>
        <v>Correct</v>
      </c>
      <c r="I10">
        <f t="shared" si="2"/>
        <v>0</v>
      </c>
      <c r="J10">
        <v>9</v>
      </c>
      <c r="K10" t="str">
        <f t="shared" si="3"/>
        <v/>
      </c>
      <c r="L10">
        <v>9</v>
      </c>
      <c r="M10" t="s">
        <v>590</v>
      </c>
    </row>
    <row r="11" spans="1:13" x14ac:dyDescent="0.3">
      <c r="A11" s="5" t="s">
        <v>591</v>
      </c>
      <c r="B11" s="5" t="s">
        <v>592</v>
      </c>
      <c r="C11" s="5" t="s">
        <v>29</v>
      </c>
      <c r="D11" s="5" t="s">
        <v>593</v>
      </c>
      <c r="E11" t="s">
        <v>29</v>
      </c>
      <c r="F11">
        <f t="shared" si="0"/>
        <v>4</v>
      </c>
      <c r="G11">
        <v>85</v>
      </c>
      <c r="H11" t="str">
        <f t="shared" si="1"/>
        <v>Correct</v>
      </c>
      <c r="I11">
        <f t="shared" si="2"/>
        <v>0</v>
      </c>
      <c r="J11">
        <v>10</v>
      </c>
      <c r="K11" t="str">
        <f t="shared" si="3"/>
        <v/>
      </c>
    </row>
    <row r="12" spans="1:13" x14ac:dyDescent="0.3">
      <c r="A12" s="5" t="s">
        <v>594</v>
      </c>
      <c r="B12" s="5" t="s">
        <v>595</v>
      </c>
      <c r="C12" s="5" t="s">
        <v>32</v>
      </c>
      <c r="D12" s="5" t="s">
        <v>596</v>
      </c>
      <c r="E12" t="s">
        <v>32</v>
      </c>
      <c r="F12">
        <f t="shared" si="0"/>
        <v>4</v>
      </c>
      <c r="G12">
        <v>149</v>
      </c>
      <c r="H12" t="str">
        <f t="shared" si="1"/>
        <v>Correct</v>
      </c>
      <c r="I12">
        <f t="shared" si="2"/>
        <v>0</v>
      </c>
      <c r="J12">
        <v>11</v>
      </c>
      <c r="K12" t="str">
        <f t="shared" si="3"/>
        <v/>
      </c>
      <c r="L12">
        <v>11</v>
      </c>
      <c r="M12" t="s">
        <v>597</v>
      </c>
    </row>
    <row r="13" spans="1:13" x14ac:dyDescent="0.3">
      <c r="A13" s="5" t="s">
        <v>598</v>
      </c>
      <c r="B13" s="5" t="s">
        <v>599</v>
      </c>
      <c r="C13" s="5" t="s">
        <v>29</v>
      </c>
      <c r="D13" s="5" t="s">
        <v>600</v>
      </c>
      <c r="E13" t="s">
        <v>29</v>
      </c>
      <c r="F13">
        <f t="shared" si="0"/>
        <v>4</v>
      </c>
      <c r="G13">
        <v>174</v>
      </c>
      <c r="H13" t="str">
        <f t="shared" si="1"/>
        <v>Correct</v>
      </c>
      <c r="I13">
        <f t="shared" si="2"/>
        <v>0</v>
      </c>
      <c r="J13">
        <v>12</v>
      </c>
      <c r="K13" t="str">
        <f t="shared" si="3"/>
        <v/>
      </c>
    </row>
    <row r="14" spans="1:13" x14ac:dyDescent="0.3">
      <c r="A14" s="5" t="s">
        <v>601</v>
      </c>
      <c r="B14" s="5" t="s">
        <v>602</v>
      </c>
      <c r="C14" s="5" t="s">
        <v>23</v>
      </c>
      <c r="D14" s="5" t="s">
        <v>603</v>
      </c>
      <c r="E14" t="s">
        <v>23</v>
      </c>
      <c r="F14">
        <f t="shared" si="0"/>
        <v>4</v>
      </c>
      <c r="G14">
        <v>88</v>
      </c>
      <c r="H14" t="str">
        <f t="shared" si="1"/>
        <v>Correct</v>
      </c>
      <c r="I14">
        <f t="shared" si="2"/>
        <v>0</v>
      </c>
      <c r="J14">
        <v>13</v>
      </c>
      <c r="K14" t="str">
        <f t="shared" si="3"/>
        <v/>
      </c>
    </row>
    <row r="15" spans="1:13" x14ac:dyDescent="0.3">
      <c r="A15" s="5" t="s">
        <v>604</v>
      </c>
      <c r="B15" s="5" t="s">
        <v>605</v>
      </c>
      <c r="C15" s="5" t="s">
        <v>32</v>
      </c>
      <c r="D15" s="5" t="s">
        <v>588</v>
      </c>
      <c r="E15" t="s">
        <v>32</v>
      </c>
      <c r="F15">
        <f t="shared" si="0"/>
        <v>4</v>
      </c>
      <c r="G15">
        <v>64</v>
      </c>
      <c r="H15" t="str">
        <f t="shared" si="1"/>
        <v>Correct</v>
      </c>
      <c r="I15">
        <f t="shared" si="2"/>
        <v>0</v>
      </c>
      <c r="J15">
        <v>14</v>
      </c>
      <c r="K15" t="str">
        <f t="shared" si="3"/>
        <v/>
      </c>
    </row>
    <row r="16" spans="1:13" x14ac:dyDescent="0.3">
      <c r="A16" s="5" t="s">
        <v>606</v>
      </c>
      <c r="B16" s="5" t="s">
        <v>607</v>
      </c>
      <c r="C16" s="5" t="s">
        <v>29</v>
      </c>
      <c r="D16" s="5" t="s">
        <v>608</v>
      </c>
      <c r="E16" t="s">
        <v>29</v>
      </c>
      <c r="F16">
        <f t="shared" si="0"/>
        <v>4</v>
      </c>
      <c r="G16">
        <v>52</v>
      </c>
      <c r="H16" t="str">
        <f t="shared" si="1"/>
        <v>Correct</v>
      </c>
      <c r="I16">
        <f t="shared" si="2"/>
        <v>0</v>
      </c>
      <c r="J16">
        <v>15</v>
      </c>
      <c r="K16" t="str">
        <f t="shared" si="3"/>
        <v/>
      </c>
    </row>
    <row r="17" spans="1:13" x14ac:dyDescent="0.3">
      <c r="A17" s="5" t="s">
        <v>609</v>
      </c>
      <c r="B17" s="5" t="s">
        <v>610</v>
      </c>
      <c r="C17" s="5" t="s">
        <v>23</v>
      </c>
      <c r="D17" s="5" t="s">
        <v>428</v>
      </c>
      <c r="E17" t="s">
        <v>23</v>
      </c>
      <c r="F17">
        <f t="shared" si="0"/>
        <v>4</v>
      </c>
      <c r="G17">
        <v>90</v>
      </c>
      <c r="H17" t="str">
        <f t="shared" si="1"/>
        <v>Correct</v>
      </c>
      <c r="I17">
        <f t="shared" si="2"/>
        <v>0</v>
      </c>
      <c r="J17">
        <v>16</v>
      </c>
      <c r="K17" t="str">
        <f t="shared" si="3"/>
        <v/>
      </c>
    </row>
    <row r="18" spans="1:13" x14ac:dyDescent="0.3">
      <c r="A18" s="5" t="s">
        <v>611</v>
      </c>
      <c r="B18" s="5" t="s">
        <v>612</v>
      </c>
      <c r="C18" s="5" t="s">
        <v>32</v>
      </c>
      <c r="D18" s="5" t="s">
        <v>613</v>
      </c>
      <c r="E18" t="s">
        <v>32</v>
      </c>
      <c r="F18">
        <f t="shared" si="0"/>
        <v>4</v>
      </c>
      <c r="G18">
        <v>243</v>
      </c>
      <c r="H18" t="str">
        <f t="shared" si="1"/>
        <v>Correct</v>
      </c>
      <c r="I18">
        <f t="shared" si="2"/>
        <v>0</v>
      </c>
      <c r="J18">
        <v>17</v>
      </c>
      <c r="K18" t="str">
        <f t="shared" si="3"/>
        <v/>
      </c>
    </row>
    <row r="19" spans="1:13" x14ac:dyDescent="0.3">
      <c r="A19" s="5" t="s">
        <v>603</v>
      </c>
      <c r="B19" s="5" t="s">
        <v>614</v>
      </c>
      <c r="C19" s="5" t="s">
        <v>26</v>
      </c>
      <c r="D19" s="5" t="s">
        <v>615</v>
      </c>
      <c r="E19" t="s">
        <v>26</v>
      </c>
      <c r="F19">
        <f t="shared" si="0"/>
        <v>4</v>
      </c>
      <c r="G19">
        <v>105</v>
      </c>
      <c r="H19" t="str">
        <f t="shared" si="1"/>
        <v>Correct</v>
      </c>
      <c r="I19">
        <f t="shared" si="2"/>
        <v>0</v>
      </c>
      <c r="J19">
        <v>18</v>
      </c>
      <c r="K19" t="str">
        <f t="shared" si="3"/>
        <v/>
      </c>
    </row>
    <row r="20" spans="1:13" x14ac:dyDescent="0.3">
      <c r="A20" s="5" t="s">
        <v>616</v>
      </c>
      <c r="B20" s="5" t="s">
        <v>617</v>
      </c>
      <c r="C20" s="5" t="s">
        <v>32</v>
      </c>
      <c r="D20" s="5" t="s">
        <v>618</v>
      </c>
      <c r="E20" t="s">
        <v>32</v>
      </c>
      <c r="F20">
        <f t="shared" si="0"/>
        <v>4</v>
      </c>
      <c r="G20">
        <v>443</v>
      </c>
      <c r="H20" t="str">
        <f t="shared" si="1"/>
        <v>Correct</v>
      </c>
      <c r="I20">
        <f t="shared" si="2"/>
        <v>0</v>
      </c>
      <c r="J20">
        <v>19</v>
      </c>
      <c r="K20" t="str">
        <f t="shared" si="3"/>
        <v/>
      </c>
    </row>
    <row r="21" spans="1:13" x14ac:dyDescent="0.3">
      <c r="A21" s="5" t="s">
        <v>619</v>
      </c>
      <c r="B21" s="5" t="s">
        <v>620</v>
      </c>
      <c r="C21" s="5" t="s">
        <v>29</v>
      </c>
      <c r="D21" s="5" t="s">
        <v>621</v>
      </c>
      <c r="E21" t="s">
        <v>29</v>
      </c>
      <c r="F21">
        <f t="shared" si="0"/>
        <v>4</v>
      </c>
      <c r="G21">
        <v>326</v>
      </c>
      <c r="H21" t="str">
        <f t="shared" si="1"/>
        <v>Correct</v>
      </c>
      <c r="I21">
        <f t="shared" si="2"/>
        <v>0</v>
      </c>
      <c r="J21">
        <v>20</v>
      </c>
      <c r="K21" t="str">
        <f t="shared" si="3"/>
        <v/>
      </c>
      <c r="L21">
        <v>20</v>
      </c>
      <c r="M21" t="s">
        <v>622</v>
      </c>
    </row>
    <row r="22" spans="1:13" x14ac:dyDescent="0.3">
      <c r="A22" s="5" t="s">
        <v>623</v>
      </c>
      <c r="B22" s="5" t="s">
        <v>624</v>
      </c>
      <c r="C22" s="5" t="s">
        <v>29</v>
      </c>
      <c r="D22" s="5" t="s">
        <v>625</v>
      </c>
      <c r="E22" t="s">
        <v>29</v>
      </c>
      <c r="F22">
        <f t="shared" si="0"/>
        <v>4</v>
      </c>
      <c r="G22">
        <v>504</v>
      </c>
      <c r="H22" t="str">
        <f t="shared" si="1"/>
        <v>Correct</v>
      </c>
      <c r="I22">
        <f t="shared" si="2"/>
        <v>0</v>
      </c>
      <c r="J22">
        <v>21</v>
      </c>
      <c r="K22" t="str">
        <f t="shared" si="3"/>
        <v/>
      </c>
      <c r="L22">
        <v>21</v>
      </c>
      <c r="M22" t="s">
        <v>626</v>
      </c>
    </row>
    <row r="23" spans="1:13" x14ac:dyDescent="0.3">
      <c r="A23" s="5" t="s">
        <v>627</v>
      </c>
      <c r="B23" s="5" t="s">
        <v>628</v>
      </c>
      <c r="C23" s="5" t="s">
        <v>26</v>
      </c>
      <c r="D23" s="5" t="s">
        <v>585</v>
      </c>
      <c r="E23" t="s">
        <v>26</v>
      </c>
      <c r="F23">
        <f t="shared" si="0"/>
        <v>4</v>
      </c>
      <c r="G23">
        <v>174</v>
      </c>
      <c r="H23" t="str">
        <f t="shared" si="1"/>
        <v>Correct</v>
      </c>
      <c r="I23">
        <f t="shared" si="2"/>
        <v>0</v>
      </c>
      <c r="J23">
        <v>22</v>
      </c>
      <c r="K23" t="str">
        <f t="shared" si="3"/>
        <v/>
      </c>
    </row>
    <row r="24" spans="1:13" x14ac:dyDescent="0.3">
      <c r="A24" s="5" t="s">
        <v>629</v>
      </c>
      <c r="B24" s="5" t="s">
        <v>630</v>
      </c>
      <c r="C24" s="5" t="s">
        <v>23</v>
      </c>
      <c r="D24" s="5" t="s">
        <v>631</v>
      </c>
      <c r="E24" t="s">
        <v>23</v>
      </c>
      <c r="F24">
        <f t="shared" si="0"/>
        <v>4</v>
      </c>
      <c r="G24">
        <v>131</v>
      </c>
      <c r="H24" t="str">
        <f t="shared" si="1"/>
        <v>Correct</v>
      </c>
      <c r="I24">
        <f t="shared" si="2"/>
        <v>0</v>
      </c>
      <c r="J24">
        <v>23</v>
      </c>
      <c r="K24" t="str">
        <f t="shared" si="3"/>
        <v/>
      </c>
      <c r="L24">
        <v>23</v>
      </c>
      <c r="M24" t="s">
        <v>632</v>
      </c>
    </row>
    <row r="25" spans="1:13" x14ac:dyDescent="0.3">
      <c r="A25" s="5" t="s">
        <v>600</v>
      </c>
      <c r="B25" s="5" t="s">
        <v>633</v>
      </c>
      <c r="C25" s="5" t="s">
        <v>29</v>
      </c>
      <c r="D25" s="5" t="s">
        <v>634</v>
      </c>
      <c r="E25" t="s">
        <v>29</v>
      </c>
      <c r="F25">
        <f t="shared" si="0"/>
        <v>4</v>
      </c>
      <c r="G25">
        <v>534</v>
      </c>
      <c r="H25" t="str">
        <f t="shared" si="1"/>
        <v>Correct</v>
      </c>
      <c r="I25">
        <f t="shared" si="2"/>
        <v>0</v>
      </c>
      <c r="J25">
        <v>24</v>
      </c>
      <c r="K25" t="str">
        <f t="shared" si="3"/>
        <v/>
      </c>
      <c r="L25">
        <v>24</v>
      </c>
      <c r="M25" t="s">
        <v>635</v>
      </c>
    </row>
    <row r="26" spans="1:13" x14ac:dyDescent="0.3">
      <c r="A26" s="5" t="s">
        <v>636</v>
      </c>
      <c r="B26" s="5" t="s">
        <v>637</v>
      </c>
      <c r="C26" s="5" t="s">
        <v>32</v>
      </c>
      <c r="D26" s="5" t="s">
        <v>638</v>
      </c>
      <c r="E26" t="s">
        <v>26</v>
      </c>
      <c r="F26">
        <f t="shared" si="0"/>
        <v>-1</v>
      </c>
      <c r="G26">
        <v>785</v>
      </c>
      <c r="H26" t="str">
        <f t="shared" si="1"/>
        <v>Incorrect</v>
      </c>
      <c r="I26">
        <f t="shared" si="2"/>
        <v>1</v>
      </c>
      <c r="J26">
        <v>25</v>
      </c>
      <c r="K26">
        <f t="shared" si="3"/>
        <v>25</v>
      </c>
      <c r="L26">
        <v>25</v>
      </c>
      <c r="M26" t="s">
        <v>639</v>
      </c>
    </row>
    <row r="27" spans="1:13" x14ac:dyDescent="0.3">
      <c r="A27" s="5" t="s">
        <v>640</v>
      </c>
      <c r="B27" s="5" t="s">
        <v>641</v>
      </c>
      <c r="C27" s="5" t="s">
        <v>23</v>
      </c>
      <c r="D27" s="5" t="s">
        <v>642</v>
      </c>
      <c r="E27" t="s">
        <v>32</v>
      </c>
      <c r="F27">
        <f t="shared" si="0"/>
        <v>-1</v>
      </c>
      <c r="G27">
        <v>73</v>
      </c>
      <c r="H27" t="str">
        <f t="shared" si="1"/>
        <v>Incorrect</v>
      </c>
      <c r="I27">
        <f t="shared" si="2"/>
        <v>1</v>
      </c>
      <c r="J27">
        <v>26</v>
      </c>
      <c r="K27">
        <f t="shared" si="3"/>
        <v>26</v>
      </c>
      <c r="L27">
        <v>26</v>
      </c>
      <c r="M27" t="s">
        <v>639</v>
      </c>
    </row>
    <row r="28" spans="1:13" x14ac:dyDescent="0.3">
      <c r="A28" s="5" t="s">
        <v>643</v>
      </c>
      <c r="B28" s="5" t="s">
        <v>644</v>
      </c>
      <c r="C28" s="5" t="s">
        <v>32</v>
      </c>
      <c r="D28" s="5" t="s">
        <v>645</v>
      </c>
      <c r="E28" t="s">
        <v>32</v>
      </c>
      <c r="F28">
        <f t="shared" si="0"/>
        <v>4</v>
      </c>
      <c r="G28">
        <v>62</v>
      </c>
      <c r="H28" t="str">
        <f t="shared" si="1"/>
        <v>Correct</v>
      </c>
      <c r="I28">
        <f t="shared" si="2"/>
        <v>0</v>
      </c>
      <c r="J28">
        <v>27</v>
      </c>
      <c r="K28" t="str">
        <f t="shared" si="3"/>
        <v/>
      </c>
    </row>
    <row r="29" spans="1:13" x14ac:dyDescent="0.3">
      <c r="A29" s="5" t="s">
        <v>646</v>
      </c>
      <c r="B29" s="5" t="s">
        <v>647</v>
      </c>
      <c r="C29" s="5" t="s">
        <v>26</v>
      </c>
      <c r="D29" s="5" t="s">
        <v>648</v>
      </c>
      <c r="E29" t="s">
        <v>26</v>
      </c>
      <c r="F29">
        <f t="shared" si="0"/>
        <v>4</v>
      </c>
      <c r="G29">
        <v>214</v>
      </c>
      <c r="H29" t="str">
        <f t="shared" si="1"/>
        <v>Correct</v>
      </c>
      <c r="I29">
        <f t="shared" si="2"/>
        <v>0</v>
      </c>
      <c r="J29">
        <v>28</v>
      </c>
      <c r="K29" t="str">
        <f t="shared" si="3"/>
        <v/>
      </c>
    </row>
    <row r="30" spans="1:13" x14ac:dyDescent="0.3">
      <c r="A30" s="5" t="s">
        <v>649</v>
      </c>
      <c r="B30" s="5" t="s">
        <v>650</v>
      </c>
      <c r="C30" s="5" t="s">
        <v>26</v>
      </c>
      <c r="D30" s="5" t="s">
        <v>651</v>
      </c>
      <c r="E30" t="s">
        <v>26</v>
      </c>
      <c r="F30">
        <f t="shared" si="0"/>
        <v>4</v>
      </c>
      <c r="G30">
        <v>720</v>
      </c>
      <c r="H30" t="str">
        <f t="shared" si="1"/>
        <v>Correct</v>
      </c>
      <c r="I30">
        <f t="shared" si="2"/>
        <v>0</v>
      </c>
      <c r="J30">
        <v>29</v>
      </c>
      <c r="K30" t="str">
        <f t="shared" si="3"/>
        <v/>
      </c>
      <c r="L30">
        <v>29</v>
      </c>
      <c r="M30" t="s">
        <v>652</v>
      </c>
    </row>
    <row r="31" spans="1:13" x14ac:dyDescent="0.3">
      <c r="A31" s="5" t="s">
        <v>653</v>
      </c>
      <c r="B31" s="5" t="s">
        <v>654</v>
      </c>
      <c r="C31" s="5" t="s">
        <v>32</v>
      </c>
      <c r="D31" s="5" t="s">
        <v>655</v>
      </c>
      <c r="E31" t="s">
        <v>23</v>
      </c>
      <c r="F31">
        <f t="shared" si="0"/>
        <v>-1</v>
      </c>
      <c r="G31">
        <v>308</v>
      </c>
      <c r="H31" t="str">
        <f t="shared" si="1"/>
        <v>Incorrect</v>
      </c>
      <c r="I31">
        <f t="shared" si="2"/>
        <v>1</v>
      </c>
      <c r="J31">
        <v>30</v>
      </c>
      <c r="K31">
        <f t="shared" si="3"/>
        <v>30</v>
      </c>
      <c r="M31" t="s">
        <v>656</v>
      </c>
    </row>
    <row r="32" spans="1:13" x14ac:dyDescent="0.3">
      <c r="F32">
        <f>SUM(F2:F31)</f>
        <v>100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2"/>
  <sheetViews>
    <sheetView workbookViewId="0"/>
  </sheetViews>
  <sheetFormatPr defaultRowHeight="14.4" x14ac:dyDescent="0.3"/>
  <cols>
    <col min="1" max="1" width="15" customWidth="1"/>
    <col min="2" max="2" width="50" customWidth="1"/>
    <col min="3" max="3" width="23" customWidth="1"/>
    <col min="4" max="4" width="50" customWidth="1"/>
    <col min="5" max="5" width="12" customWidth="1"/>
    <col min="6" max="6" width="20" customWidth="1"/>
    <col min="7" max="7" width="18" customWidth="1"/>
    <col min="8" max="9" width="50" customWidth="1"/>
    <col min="10" max="10" width="13" customWidth="1"/>
    <col min="11" max="11" width="36" customWidth="1"/>
    <col min="12" max="12" width="15" customWidth="1"/>
    <col min="13" max="13" width="50" customWidth="1"/>
  </cols>
  <sheetData>
    <row r="1" spans="1:13" x14ac:dyDescent="0.3">
      <c r="A1" t="s">
        <v>9</v>
      </c>
      <c r="B1" t="s">
        <v>10</v>
      </c>
      <c r="C1" t="s">
        <v>11</v>
      </c>
      <c r="D1" t="s">
        <v>12</v>
      </c>
      <c r="E1" t="s">
        <v>13</v>
      </c>
      <c r="F1" t="s">
        <v>14</v>
      </c>
      <c r="G1" t="s">
        <v>15</v>
      </c>
      <c r="H1" t="s">
        <v>16</v>
      </c>
      <c r="I1" t="s">
        <v>17</v>
      </c>
      <c r="J1" t="s">
        <v>18</v>
      </c>
      <c r="K1" t="s">
        <v>19</v>
      </c>
      <c r="L1" t="s">
        <v>20</v>
      </c>
      <c r="M1" t="s">
        <v>21</v>
      </c>
    </row>
    <row r="2" spans="1:13" x14ac:dyDescent="0.3">
      <c r="A2">
        <v>1</v>
      </c>
      <c r="B2" t="s">
        <v>657</v>
      </c>
      <c r="C2" t="s">
        <v>29</v>
      </c>
      <c r="D2" t="s">
        <v>658</v>
      </c>
      <c r="E2" t="s">
        <v>29</v>
      </c>
      <c r="F2">
        <f t="shared" ref="F2:F31" si="0">IF(C2&lt;&gt;E2,-1,4)</f>
        <v>4</v>
      </c>
      <c r="G2">
        <v>206</v>
      </c>
      <c r="H2" t="str">
        <f t="shared" ref="H2:H31" si="1">IF(F2=4,"Correct",IF(F2=0,"Unattempted","Incorrect"))</f>
        <v>Correct</v>
      </c>
      <c r="I2">
        <f t="shared" ref="I2:I31" si="2">COUNTIF(H2,"=Unattempted") + COUNTIF(H2,"=Incorrect")</f>
        <v>0</v>
      </c>
      <c r="J2">
        <v>1</v>
      </c>
      <c r="K2" t="str">
        <f t="shared" ref="K2:K31" si="3">IF(I2,J2,"")</f>
        <v/>
      </c>
    </row>
    <row r="3" spans="1:13" x14ac:dyDescent="0.3">
      <c r="A3">
        <v>2</v>
      </c>
      <c r="B3" t="s">
        <v>659</v>
      </c>
      <c r="C3" t="s">
        <v>32</v>
      </c>
      <c r="D3" t="s">
        <v>660</v>
      </c>
      <c r="E3" t="s">
        <v>32</v>
      </c>
      <c r="F3">
        <f t="shared" si="0"/>
        <v>4</v>
      </c>
      <c r="G3">
        <v>135</v>
      </c>
      <c r="H3" t="str">
        <f t="shared" si="1"/>
        <v>Correct</v>
      </c>
      <c r="I3">
        <f t="shared" si="2"/>
        <v>0</v>
      </c>
      <c r="J3">
        <v>2</v>
      </c>
      <c r="K3" t="str">
        <f t="shared" si="3"/>
        <v/>
      </c>
    </row>
    <row r="4" spans="1:13" x14ac:dyDescent="0.3">
      <c r="A4">
        <v>3</v>
      </c>
      <c r="B4" t="s">
        <v>661</v>
      </c>
      <c r="C4" t="s">
        <v>32</v>
      </c>
      <c r="D4" t="s">
        <v>662</v>
      </c>
      <c r="E4" t="s">
        <v>32</v>
      </c>
      <c r="F4">
        <f t="shared" si="0"/>
        <v>4</v>
      </c>
      <c r="G4">
        <v>500</v>
      </c>
      <c r="H4" t="str">
        <f t="shared" si="1"/>
        <v>Correct</v>
      </c>
      <c r="I4">
        <f t="shared" si="2"/>
        <v>0</v>
      </c>
      <c r="J4">
        <v>3</v>
      </c>
      <c r="K4" t="str">
        <f t="shared" si="3"/>
        <v/>
      </c>
    </row>
    <row r="5" spans="1:13" x14ac:dyDescent="0.3">
      <c r="A5">
        <v>4</v>
      </c>
      <c r="B5" t="s">
        <v>663</v>
      </c>
      <c r="C5" t="s">
        <v>26</v>
      </c>
      <c r="D5">
        <v>1</v>
      </c>
      <c r="E5" t="s">
        <v>26</v>
      </c>
      <c r="F5">
        <f t="shared" si="0"/>
        <v>4</v>
      </c>
      <c r="G5">
        <v>797</v>
      </c>
      <c r="H5" t="str">
        <f t="shared" si="1"/>
        <v>Correct</v>
      </c>
      <c r="I5">
        <f t="shared" si="2"/>
        <v>0</v>
      </c>
      <c r="J5">
        <v>4</v>
      </c>
      <c r="K5" t="str">
        <f t="shared" si="3"/>
        <v/>
      </c>
      <c r="L5">
        <v>4</v>
      </c>
      <c r="M5" t="s">
        <v>664</v>
      </c>
    </row>
    <row r="6" spans="1:13" x14ac:dyDescent="0.3">
      <c r="A6">
        <v>5</v>
      </c>
      <c r="B6" t="s">
        <v>665</v>
      </c>
      <c r="C6" t="s">
        <v>23</v>
      </c>
      <c r="D6">
        <v>112.4</v>
      </c>
      <c r="E6" t="s">
        <v>29</v>
      </c>
      <c r="F6">
        <f t="shared" si="0"/>
        <v>-1</v>
      </c>
      <c r="G6">
        <v>182</v>
      </c>
      <c r="H6" t="str">
        <f t="shared" si="1"/>
        <v>Incorrect</v>
      </c>
      <c r="I6">
        <f t="shared" si="2"/>
        <v>1</v>
      </c>
      <c r="J6">
        <v>5</v>
      </c>
      <c r="K6">
        <f t="shared" si="3"/>
        <v>5</v>
      </c>
      <c r="L6">
        <v>5</v>
      </c>
      <c r="M6" t="s">
        <v>666</v>
      </c>
    </row>
    <row r="7" spans="1:13" x14ac:dyDescent="0.3">
      <c r="A7">
        <v>6</v>
      </c>
      <c r="B7" t="s">
        <v>667</v>
      </c>
      <c r="C7" t="s">
        <v>29</v>
      </c>
      <c r="D7" t="s">
        <v>668</v>
      </c>
      <c r="E7" t="s">
        <v>29</v>
      </c>
      <c r="F7">
        <f t="shared" si="0"/>
        <v>4</v>
      </c>
      <c r="G7">
        <v>169</v>
      </c>
      <c r="H7" t="str">
        <f t="shared" si="1"/>
        <v>Correct</v>
      </c>
      <c r="I7">
        <f t="shared" si="2"/>
        <v>0</v>
      </c>
      <c r="J7">
        <v>6</v>
      </c>
      <c r="K7" t="str">
        <f t="shared" si="3"/>
        <v/>
      </c>
    </row>
    <row r="8" spans="1:13" x14ac:dyDescent="0.3">
      <c r="A8">
        <v>7</v>
      </c>
      <c r="B8" t="s">
        <v>669</v>
      </c>
      <c r="C8" t="s">
        <v>26</v>
      </c>
      <c r="D8" t="s">
        <v>670</v>
      </c>
      <c r="E8" t="s">
        <v>29</v>
      </c>
      <c r="F8">
        <f t="shared" si="0"/>
        <v>-1</v>
      </c>
      <c r="G8">
        <v>274</v>
      </c>
      <c r="H8" t="str">
        <f t="shared" si="1"/>
        <v>Incorrect</v>
      </c>
      <c r="I8">
        <f t="shared" si="2"/>
        <v>1</v>
      </c>
      <c r="J8">
        <v>7</v>
      </c>
      <c r="K8">
        <f t="shared" si="3"/>
        <v>7</v>
      </c>
      <c r="M8" t="s">
        <v>671</v>
      </c>
    </row>
    <row r="9" spans="1:13" x14ac:dyDescent="0.3">
      <c r="A9">
        <v>8</v>
      </c>
      <c r="B9" t="s">
        <v>672</v>
      </c>
      <c r="C9" t="s">
        <v>29</v>
      </c>
      <c r="D9" t="s">
        <v>673</v>
      </c>
      <c r="E9" t="s">
        <v>29</v>
      </c>
      <c r="F9">
        <f t="shared" si="0"/>
        <v>4</v>
      </c>
      <c r="G9">
        <v>615</v>
      </c>
      <c r="H9" t="str">
        <f t="shared" si="1"/>
        <v>Correct</v>
      </c>
      <c r="I9">
        <f t="shared" si="2"/>
        <v>0</v>
      </c>
      <c r="J9">
        <v>8</v>
      </c>
      <c r="K9" t="str">
        <f t="shared" si="3"/>
        <v/>
      </c>
    </row>
    <row r="10" spans="1:13" x14ac:dyDescent="0.3">
      <c r="A10">
        <v>9</v>
      </c>
      <c r="B10" t="s">
        <v>674</v>
      </c>
      <c r="C10" t="s">
        <v>32</v>
      </c>
      <c r="D10" t="s">
        <v>675</v>
      </c>
      <c r="E10" t="s">
        <v>32</v>
      </c>
      <c r="F10">
        <f t="shared" si="0"/>
        <v>4</v>
      </c>
      <c r="G10">
        <v>151</v>
      </c>
      <c r="H10" t="str">
        <f t="shared" si="1"/>
        <v>Correct</v>
      </c>
      <c r="I10">
        <f t="shared" si="2"/>
        <v>0</v>
      </c>
      <c r="J10">
        <v>9</v>
      </c>
      <c r="K10" t="str">
        <f t="shared" si="3"/>
        <v/>
      </c>
    </row>
    <row r="11" spans="1:13" x14ac:dyDescent="0.3">
      <c r="A11">
        <v>10</v>
      </c>
      <c r="B11" t="s">
        <v>676</v>
      </c>
      <c r="C11" t="s">
        <v>26</v>
      </c>
      <c r="D11">
        <f>1</f>
        <v>1</v>
      </c>
      <c r="E11" t="s">
        <v>26</v>
      </c>
      <c r="F11">
        <f t="shared" si="0"/>
        <v>4</v>
      </c>
      <c r="G11">
        <v>167</v>
      </c>
      <c r="H11" t="str">
        <f t="shared" si="1"/>
        <v>Correct</v>
      </c>
      <c r="I11">
        <f t="shared" si="2"/>
        <v>0</v>
      </c>
      <c r="J11">
        <v>10</v>
      </c>
      <c r="K11" t="str">
        <f t="shared" si="3"/>
        <v/>
      </c>
    </row>
    <row r="12" spans="1:13" x14ac:dyDescent="0.3">
      <c r="A12">
        <v>11</v>
      </c>
      <c r="B12" t="s">
        <v>677</v>
      </c>
      <c r="C12" t="s">
        <v>32</v>
      </c>
      <c r="D12">
        <v>65</v>
      </c>
      <c r="E12" t="s">
        <v>32</v>
      </c>
      <c r="F12">
        <f t="shared" si="0"/>
        <v>4</v>
      </c>
      <c r="G12">
        <v>149</v>
      </c>
      <c r="H12" t="str">
        <f t="shared" si="1"/>
        <v>Correct</v>
      </c>
      <c r="I12">
        <f t="shared" si="2"/>
        <v>0</v>
      </c>
      <c r="J12">
        <v>11</v>
      </c>
      <c r="K12" t="str">
        <f t="shared" si="3"/>
        <v/>
      </c>
    </row>
    <row r="13" spans="1:13" x14ac:dyDescent="0.3">
      <c r="A13">
        <v>12</v>
      </c>
      <c r="B13" t="s">
        <v>678</v>
      </c>
      <c r="C13" t="s">
        <v>26</v>
      </c>
      <c r="D13" t="s">
        <v>679</v>
      </c>
      <c r="E13" t="s">
        <v>29</v>
      </c>
      <c r="F13">
        <f t="shared" si="0"/>
        <v>-1</v>
      </c>
      <c r="G13">
        <v>67</v>
      </c>
      <c r="H13" t="str">
        <f t="shared" si="1"/>
        <v>Incorrect</v>
      </c>
      <c r="I13">
        <f t="shared" si="2"/>
        <v>1</v>
      </c>
      <c r="J13">
        <v>12</v>
      </c>
      <c r="K13">
        <f t="shared" si="3"/>
        <v>12</v>
      </c>
      <c r="M13" t="s">
        <v>680</v>
      </c>
    </row>
    <row r="14" spans="1:13" x14ac:dyDescent="0.3">
      <c r="A14">
        <v>13</v>
      </c>
      <c r="B14" t="s">
        <v>681</v>
      </c>
      <c r="C14" t="s">
        <v>29</v>
      </c>
      <c r="D14" t="s">
        <v>682</v>
      </c>
      <c r="E14" t="s">
        <v>29</v>
      </c>
      <c r="F14">
        <f t="shared" si="0"/>
        <v>4</v>
      </c>
      <c r="G14">
        <v>236</v>
      </c>
      <c r="H14" t="str">
        <f t="shared" si="1"/>
        <v>Correct</v>
      </c>
      <c r="I14">
        <f t="shared" si="2"/>
        <v>0</v>
      </c>
      <c r="J14">
        <v>13</v>
      </c>
      <c r="K14" t="str">
        <f t="shared" si="3"/>
        <v/>
      </c>
      <c r="L14">
        <v>13</v>
      </c>
      <c r="M14" t="s">
        <v>683</v>
      </c>
    </row>
    <row r="15" spans="1:13" x14ac:dyDescent="0.3">
      <c r="A15">
        <v>14</v>
      </c>
      <c r="B15" t="s">
        <v>684</v>
      </c>
      <c r="C15" t="s">
        <v>29</v>
      </c>
      <c r="D15" t="s">
        <v>685</v>
      </c>
      <c r="E15" t="s">
        <v>29</v>
      </c>
      <c r="F15">
        <f t="shared" si="0"/>
        <v>4</v>
      </c>
      <c r="G15">
        <v>286</v>
      </c>
      <c r="H15" t="str">
        <f t="shared" si="1"/>
        <v>Correct</v>
      </c>
      <c r="I15">
        <f t="shared" si="2"/>
        <v>0</v>
      </c>
      <c r="J15">
        <v>14</v>
      </c>
      <c r="K15" t="str">
        <f t="shared" si="3"/>
        <v/>
      </c>
      <c r="L15">
        <v>14</v>
      </c>
      <c r="M15" t="s">
        <v>686</v>
      </c>
    </row>
    <row r="16" spans="1:13" x14ac:dyDescent="0.3">
      <c r="A16">
        <v>15</v>
      </c>
      <c r="B16" t="s">
        <v>687</v>
      </c>
      <c r="C16" t="s">
        <v>26</v>
      </c>
      <c r="D16" t="s">
        <v>688</v>
      </c>
      <c r="E16" t="s">
        <v>26</v>
      </c>
      <c r="F16">
        <f t="shared" si="0"/>
        <v>4</v>
      </c>
      <c r="G16">
        <v>66</v>
      </c>
      <c r="H16" t="str">
        <f t="shared" si="1"/>
        <v>Correct</v>
      </c>
      <c r="I16">
        <f t="shared" si="2"/>
        <v>0</v>
      </c>
      <c r="J16">
        <v>15</v>
      </c>
      <c r="K16" t="str">
        <f t="shared" si="3"/>
        <v/>
      </c>
    </row>
    <row r="17" spans="1:13" x14ac:dyDescent="0.3">
      <c r="A17">
        <v>16</v>
      </c>
      <c r="B17" t="s">
        <v>689</v>
      </c>
      <c r="C17" t="s">
        <v>29</v>
      </c>
      <c r="D17" t="s">
        <v>690</v>
      </c>
      <c r="E17" t="s">
        <v>29</v>
      </c>
      <c r="F17">
        <f t="shared" si="0"/>
        <v>4</v>
      </c>
      <c r="G17">
        <v>75</v>
      </c>
      <c r="H17" t="str">
        <f t="shared" si="1"/>
        <v>Correct</v>
      </c>
      <c r="I17">
        <f t="shared" si="2"/>
        <v>0</v>
      </c>
      <c r="J17">
        <v>16</v>
      </c>
      <c r="K17" t="str">
        <f t="shared" si="3"/>
        <v/>
      </c>
    </row>
    <row r="18" spans="1:13" x14ac:dyDescent="0.3">
      <c r="A18">
        <v>17</v>
      </c>
      <c r="B18" t="s">
        <v>691</v>
      </c>
      <c r="C18" t="s">
        <v>23</v>
      </c>
      <c r="D18">
        <v>1</v>
      </c>
      <c r="E18" t="s">
        <v>23</v>
      </c>
      <c r="F18">
        <f t="shared" si="0"/>
        <v>4</v>
      </c>
      <c r="G18">
        <v>85</v>
      </c>
      <c r="H18" t="str">
        <f t="shared" si="1"/>
        <v>Correct</v>
      </c>
      <c r="I18">
        <f t="shared" si="2"/>
        <v>0</v>
      </c>
      <c r="J18">
        <v>17</v>
      </c>
      <c r="K18" t="str">
        <f t="shared" si="3"/>
        <v/>
      </c>
    </row>
    <row r="19" spans="1:13" x14ac:dyDescent="0.3">
      <c r="A19">
        <v>18</v>
      </c>
      <c r="B19" t="s">
        <v>692</v>
      </c>
      <c r="C19" t="s">
        <v>32</v>
      </c>
      <c r="D19" t="s">
        <v>87</v>
      </c>
      <c r="E19" t="s">
        <v>32</v>
      </c>
      <c r="F19">
        <f t="shared" si="0"/>
        <v>4</v>
      </c>
      <c r="G19">
        <v>514</v>
      </c>
      <c r="H19" t="str">
        <f t="shared" si="1"/>
        <v>Correct</v>
      </c>
      <c r="I19">
        <f t="shared" si="2"/>
        <v>0</v>
      </c>
      <c r="J19">
        <v>18</v>
      </c>
      <c r="K19" t="str">
        <f t="shared" si="3"/>
        <v/>
      </c>
      <c r="L19">
        <v>18</v>
      </c>
      <c r="M19" t="s">
        <v>693</v>
      </c>
    </row>
    <row r="20" spans="1:13" x14ac:dyDescent="0.3">
      <c r="A20">
        <v>19</v>
      </c>
      <c r="B20" t="s">
        <v>694</v>
      </c>
      <c r="C20" t="s">
        <v>26</v>
      </c>
      <c r="D20" t="s">
        <v>695</v>
      </c>
      <c r="E20" t="s">
        <v>26</v>
      </c>
      <c r="F20">
        <f t="shared" si="0"/>
        <v>4</v>
      </c>
      <c r="G20">
        <v>73</v>
      </c>
      <c r="H20" t="str">
        <f t="shared" si="1"/>
        <v>Correct</v>
      </c>
      <c r="I20">
        <f t="shared" si="2"/>
        <v>0</v>
      </c>
      <c r="J20">
        <v>19</v>
      </c>
      <c r="K20" t="str">
        <f t="shared" si="3"/>
        <v/>
      </c>
    </row>
    <row r="21" spans="1:13" x14ac:dyDescent="0.3">
      <c r="A21">
        <v>20</v>
      </c>
      <c r="B21" t="s">
        <v>696</v>
      </c>
      <c r="C21" t="s">
        <v>26</v>
      </c>
      <c r="D21">
        <v>6</v>
      </c>
      <c r="E21" t="s">
        <v>26</v>
      </c>
      <c r="F21">
        <f t="shared" si="0"/>
        <v>4</v>
      </c>
      <c r="G21">
        <v>243</v>
      </c>
      <c r="H21" t="str">
        <f t="shared" si="1"/>
        <v>Correct</v>
      </c>
      <c r="I21">
        <f t="shared" si="2"/>
        <v>0</v>
      </c>
      <c r="J21">
        <v>20</v>
      </c>
      <c r="K21" t="str">
        <f t="shared" si="3"/>
        <v/>
      </c>
      <c r="L21">
        <v>20</v>
      </c>
      <c r="M21" t="s">
        <v>697</v>
      </c>
    </row>
    <row r="22" spans="1:13" x14ac:dyDescent="0.3">
      <c r="A22">
        <v>21</v>
      </c>
      <c r="B22" t="s">
        <v>698</v>
      </c>
      <c r="C22" t="s">
        <v>26</v>
      </c>
      <c r="D22">
        <v>22026</v>
      </c>
      <c r="E22" t="s">
        <v>26</v>
      </c>
      <c r="F22">
        <f t="shared" si="0"/>
        <v>4</v>
      </c>
      <c r="G22">
        <v>199</v>
      </c>
      <c r="H22" t="str">
        <f t="shared" si="1"/>
        <v>Correct</v>
      </c>
      <c r="I22">
        <f t="shared" si="2"/>
        <v>0</v>
      </c>
      <c r="J22">
        <v>21</v>
      </c>
      <c r="K22" t="str">
        <f t="shared" si="3"/>
        <v/>
      </c>
    </row>
    <row r="23" spans="1:13" x14ac:dyDescent="0.3">
      <c r="A23">
        <v>22</v>
      </c>
      <c r="B23" t="s">
        <v>699</v>
      </c>
      <c r="C23" t="s">
        <v>23</v>
      </c>
      <c r="D23" t="s">
        <v>700</v>
      </c>
      <c r="E23" t="s">
        <v>26</v>
      </c>
      <c r="F23">
        <f t="shared" si="0"/>
        <v>-1</v>
      </c>
      <c r="G23">
        <v>277</v>
      </c>
      <c r="H23" t="str">
        <f t="shared" si="1"/>
        <v>Incorrect</v>
      </c>
      <c r="I23">
        <f t="shared" si="2"/>
        <v>1</v>
      </c>
      <c r="J23">
        <v>22</v>
      </c>
      <c r="K23">
        <f t="shared" si="3"/>
        <v>22</v>
      </c>
      <c r="L23">
        <v>22</v>
      </c>
      <c r="M23" t="s">
        <v>701</v>
      </c>
    </row>
    <row r="24" spans="1:13" x14ac:dyDescent="0.3">
      <c r="A24">
        <v>23</v>
      </c>
      <c r="B24" t="s">
        <v>702</v>
      </c>
      <c r="C24" t="s">
        <v>32</v>
      </c>
      <c r="D24" t="s">
        <v>703</v>
      </c>
      <c r="E24" t="s">
        <v>32</v>
      </c>
      <c r="F24">
        <f t="shared" si="0"/>
        <v>4</v>
      </c>
      <c r="G24">
        <v>269</v>
      </c>
      <c r="H24" t="str">
        <f t="shared" si="1"/>
        <v>Correct</v>
      </c>
      <c r="I24">
        <f t="shared" si="2"/>
        <v>0</v>
      </c>
      <c r="J24">
        <v>23</v>
      </c>
      <c r="K24" t="str">
        <f t="shared" si="3"/>
        <v/>
      </c>
      <c r="L24">
        <v>23</v>
      </c>
      <c r="M24" t="s">
        <v>704</v>
      </c>
    </row>
    <row r="25" spans="1:13" x14ac:dyDescent="0.3">
      <c r="A25">
        <v>24</v>
      </c>
      <c r="B25" t="s">
        <v>705</v>
      </c>
      <c r="C25" t="s">
        <v>32</v>
      </c>
      <c r="D25" t="s">
        <v>706</v>
      </c>
      <c r="E25" t="s">
        <v>32</v>
      </c>
      <c r="F25">
        <f t="shared" si="0"/>
        <v>4</v>
      </c>
      <c r="G25">
        <v>268</v>
      </c>
      <c r="H25" t="str">
        <f t="shared" si="1"/>
        <v>Correct</v>
      </c>
      <c r="I25">
        <f t="shared" si="2"/>
        <v>0</v>
      </c>
      <c r="J25">
        <v>24</v>
      </c>
      <c r="K25" t="str">
        <f t="shared" si="3"/>
        <v/>
      </c>
    </row>
    <row r="26" spans="1:13" x14ac:dyDescent="0.3">
      <c r="A26">
        <v>25</v>
      </c>
      <c r="B26" t="s">
        <v>707</v>
      </c>
      <c r="C26" t="s">
        <v>29</v>
      </c>
      <c r="D26">
        <v>100</v>
      </c>
      <c r="E26" t="s">
        <v>29</v>
      </c>
      <c r="F26">
        <f t="shared" si="0"/>
        <v>4</v>
      </c>
      <c r="G26">
        <v>182</v>
      </c>
      <c r="H26" t="str">
        <f t="shared" si="1"/>
        <v>Correct</v>
      </c>
      <c r="I26">
        <f t="shared" si="2"/>
        <v>0</v>
      </c>
      <c r="J26">
        <v>25</v>
      </c>
      <c r="K26" t="str">
        <f t="shared" si="3"/>
        <v/>
      </c>
    </row>
    <row r="27" spans="1:13" x14ac:dyDescent="0.3">
      <c r="A27">
        <v>26</v>
      </c>
      <c r="B27" t="s">
        <v>708</v>
      </c>
      <c r="C27" t="s">
        <v>23</v>
      </c>
      <c r="D27" t="s">
        <v>709</v>
      </c>
      <c r="E27" t="s">
        <v>23</v>
      </c>
      <c r="F27">
        <f t="shared" si="0"/>
        <v>4</v>
      </c>
      <c r="G27">
        <v>218</v>
      </c>
      <c r="H27" t="str">
        <f t="shared" si="1"/>
        <v>Correct</v>
      </c>
      <c r="I27">
        <f t="shared" si="2"/>
        <v>0</v>
      </c>
      <c r="J27">
        <v>26</v>
      </c>
      <c r="K27" t="str">
        <f t="shared" si="3"/>
        <v/>
      </c>
    </row>
    <row r="28" spans="1:13" x14ac:dyDescent="0.3">
      <c r="A28">
        <v>27</v>
      </c>
      <c r="B28" t="s">
        <v>710</v>
      </c>
      <c r="C28" t="s">
        <v>29</v>
      </c>
      <c r="D28" t="s">
        <v>711</v>
      </c>
      <c r="E28" t="s">
        <v>29</v>
      </c>
      <c r="F28">
        <f t="shared" si="0"/>
        <v>4</v>
      </c>
      <c r="G28">
        <v>160</v>
      </c>
      <c r="H28" t="str">
        <f t="shared" si="1"/>
        <v>Correct</v>
      </c>
      <c r="I28">
        <f t="shared" si="2"/>
        <v>0</v>
      </c>
      <c r="J28">
        <v>27</v>
      </c>
      <c r="K28" t="str">
        <f t="shared" si="3"/>
        <v/>
      </c>
      <c r="L28">
        <v>27</v>
      </c>
      <c r="M28" t="s">
        <v>712</v>
      </c>
    </row>
    <row r="29" spans="1:13" x14ac:dyDescent="0.3">
      <c r="A29">
        <v>28</v>
      </c>
      <c r="B29" t="s">
        <v>713</v>
      </c>
      <c r="C29" t="s">
        <v>32</v>
      </c>
      <c r="D29" t="s">
        <v>714</v>
      </c>
      <c r="E29" t="s">
        <v>23</v>
      </c>
      <c r="F29">
        <f t="shared" si="0"/>
        <v>-1</v>
      </c>
      <c r="G29">
        <v>345</v>
      </c>
      <c r="H29" t="str">
        <f t="shared" si="1"/>
        <v>Incorrect</v>
      </c>
      <c r="I29">
        <f t="shared" si="2"/>
        <v>1</v>
      </c>
      <c r="J29">
        <v>28</v>
      </c>
      <c r="K29">
        <f t="shared" si="3"/>
        <v>28</v>
      </c>
      <c r="L29">
        <v>28</v>
      </c>
      <c r="M29" t="s">
        <v>715</v>
      </c>
    </row>
    <row r="30" spans="1:13" x14ac:dyDescent="0.3">
      <c r="A30">
        <v>29</v>
      </c>
      <c r="B30" t="s">
        <v>716</v>
      </c>
      <c r="C30" t="s">
        <v>26</v>
      </c>
      <c r="D30" t="s">
        <v>717</v>
      </c>
      <c r="E30" t="s">
        <v>26</v>
      </c>
      <c r="F30">
        <f t="shared" si="0"/>
        <v>4</v>
      </c>
      <c r="G30">
        <v>148</v>
      </c>
      <c r="H30" t="str">
        <f t="shared" si="1"/>
        <v>Correct</v>
      </c>
      <c r="I30">
        <f t="shared" si="2"/>
        <v>0</v>
      </c>
      <c r="J30">
        <v>29</v>
      </c>
      <c r="K30" t="str">
        <f t="shared" si="3"/>
        <v/>
      </c>
      <c r="L30">
        <v>29</v>
      </c>
      <c r="M30" t="s">
        <v>718</v>
      </c>
    </row>
    <row r="31" spans="1:13" x14ac:dyDescent="0.3">
      <c r="A31">
        <v>30</v>
      </c>
      <c r="B31" t="s">
        <v>719</v>
      </c>
      <c r="C31" t="s">
        <v>29</v>
      </c>
      <c r="D31" t="s">
        <v>720</v>
      </c>
      <c r="E31" t="s">
        <v>29</v>
      </c>
      <c r="F31">
        <f t="shared" si="0"/>
        <v>4</v>
      </c>
      <c r="G31">
        <v>144</v>
      </c>
      <c r="H31" t="str">
        <f t="shared" si="1"/>
        <v>Correct</v>
      </c>
      <c r="I31">
        <f t="shared" si="2"/>
        <v>0</v>
      </c>
      <c r="J31">
        <v>30</v>
      </c>
      <c r="K31" t="str">
        <f t="shared" si="3"/>
        <v/>
      </c>
      <c r="L31">
        <v>30</v>
      </c>
      <c r="M31" t="s">
        <v>721</v>
      </c>
    </row>
    <row r="32" spans="1:13" x14ac:dyDescent="0.3">
      <c r="F32">
        <f>SUM(F2:F31)</f>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PEA 2016</vt:lpstr>
      <vt:lpstr>PEA 2017</vt:lpstr>
      <vt:lpstr>PEB 2017</vt:lpstr>
      <vt:lpstr>PEA 2018</vt:lpstr>
      <vt:lpstr>PEA 2019</vt:lpstr>
      <vt:lpstr>PEA 2020</vt:lpstr>
      <vt:lpstr>PEA 2021</vt:lpstr>
      <vt:lpstr>PEA 2022</vt:lpstr>
      <vt:lpstr>PEA 2024</vt:lpstr>
      <vt:lpstr>PEA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Rishav -</cp:lastModifiedBy>
  <dcterms:created xsi:type="dcterms:W3CDTF">2026-06-02T13:03:46Z</dcterms:created>
  <dcterms:modified xsi:type="dcterms:W3CDTF">2026-06-02T13:04:45Z</dcterms:modified>
</cp:coreProperties>
</file>