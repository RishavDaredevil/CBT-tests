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wnloads\"/>
    </mc:Choice>
  </mc:AlternateContent>
  <xr:revisionPtr revIDLastSave="0" documentId="13_ncr:1_{3ED35D59-7DA0-4CAD-996D-13BD8A3F81B9}" xr6:coauthVersionLast="47" xr6:coauthVersionMax="47" xr10:uidLastSave="{00000000-0000-0000-0000-000000000000}"/>
  <bookViews>
    <workbookView xWindow="-108" yWindow="-108" windowWidth="23256" windowHeight="13176" activeTab="4" xr2:uid="{00000000-000D-0000-FFFF-FFFF00000000}"/>
  </bookViews>
  <sheets>
    <sheet name="Instructions" sheetId="1" r:id="rId1"/>
    <sheet name="CUET 2023 Shift 1" sheetId="2" r:id="rId2"/>
    <sheet name="CUET 2023 Shift 2" sheetId="3" r:id="rId3"/>
    <sheet name="CUET 2024" sheetId="4" r:id="rId4"/>
    <sheet name="CUET 202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6" i="5" l="1"/>
  <c r="L76" i="5" s="1"/>
  <c r="K75" i="5"/>
  <c r="L75" i="5" s="1"/>
  <c r="K74" i="5"/>
  <c r="L74" i="5" s="1"/>
  <c r="K73" i="5"/>
  <c r="L73" i="5" s="1"/>
  <c r="K72" i="5"/>
  <c r="L72" i="5" s="1"/>
  <c r="K71" i="5"/>
  <c r="L71" i="5" s="1"/>
  <c r="K70" i="5"/>
  <c r="L70" i="5" s="1"/>
  <c r="K69" i="5"/>
  <c r="L69" i="5" s="1"/>
  <c r="K68" i="5"/>
  <c r="L68" i="5" s="1"/>
  <c r="K67" i="5"/>
  <c r="L67" i="5" s="1"/>
  <c r="K66" i="5"/>
  <c r="L66" i="5" s="1"/>
  <c r="K65" i="5"/>
  <c r="L65" i="5" s="1"/>
  <c r="K64" i="5"/>
  <c r="L64" i="5" s="1"/>
  <c r="K63" i="5"/>
  <c r="L63" i="5" s="1"/>
  <c r="K62" i="5"/>
  <c r="L62" i="5" s="1"/>
  <c r="K61" i="5"/>
  <c r="L61" i="5" s="1"/>
  <c r="K60" i="5"/>
  <c r="L60" i="5" s="1"/>
  <c r="K59" i="5"/>
  <c r="L59" i="5" s="1"/>
  <c r="K58" i="5"/>
  <c r="L58" i="5" s="1"/>
  <c r="K57" i="5"/>
  <c r="L57" i="5" s="1"/>
  <c r="K56" i="5"/>
  <c r="L56" i="5" s="1"/>
  <c r="K55" i="5"/>
  <c r="L55" i="5" s="1"/>
  <c r="K54" i="5"/>
  <c r="L54" i="5" s="1"/>
  <c r="K53" i="5"/>
  <c r="L53" i="5" s="1"/>
  <c r="K52" i="5"/>
  <c r="L52" i="5" s="1"/>
  <c r="K51" i="5"/>
  <c r="L51" i="5" s="1"/>
  <c r="K50" i="5"/>
  <c r="L50" i="5" s="1"/>
  <c r="K49" i="5"/>
  <c r="L49" i="5" s="1"/>
  <c r="K48" i="5"/>
  <c r="L48" i="5" s="1"/>
  <c r="K47" i="5"/>
  <c r="L47" i="5" s="1"/>
  <c r="K46" i="5"/>
  <c r="L46" i="5" s="1"/>
  <c r="K45" i="5"/>
  <c r="L45" i="5" s="1"/>
  <c r="K44" i="5"/>
  <c r="L44" i="5" s="1"/>
  <c r="K43" i="5"/>
  <c r="L43" i="5" s="1"/>
  <c r="K42" i="5"/>
  <c r="L42" i="5" s="1"/>
  <c r="K41" i="5"/>
  <c r="L41" i="5" s="1"/>
  <c r="K40" i="5"/>
  <c r="L40" i="5" s="1"/>
  <c r="K39" i="5"/>
  <c r="L39" i="5" s="1"/>
  <c r="K38" i="5"/>
  <c r="L38" i="5" s="1"/>
  <c r="K37" i="5"/>
  <c r="L37" i="5" s="1"/>
  <c r="K36" i="5"/>
  <c r="L36" i="5" s="1"/>
  <c r="K35" i="5"/>
  <c r="L35" i="5" s="1"/>
  <c r="K34" i="5"/>
  <c r="L34" i="5" s="1"/>
  <c r="K33" i="5"/>
  <c r="L33" i="5" s="1"/>
  <c r="K32" i="5"/>
  <c r="L32" i="5" s="1"/>
  <c r="K31" i="5"/>
  <c r="L31" i="5" s="1"/>
  <c r="K30" i="5"/>
  <c r="L30" i="5" s="1"/>
  <c r="K29" i="5"/>
  <c r="L29" i="5" s="1"/>
  <c r="K28" i="5"/>
  <c r="L28" i="5" s="1"/>
  <c r="K27" i="5"/>
  <c r="L27" i="5" s="1"/>
  <c r="K26" i="5"/>
  <c r="L26" i="5" s="1"/>
  <c r="K25" i="5"/>
  <c r="L25" i="5" s="1"/>
  <c r="K24" i="5"/>
  <c r="L24" i="5" s="1"/>
  <c r="K23" i="5"/>
  <c r="L23" i="5" s="1"/>
  <c r="K22" i="5"/>
  <c r="L22" i="5" s="1"/>
  <c r="K21" i="5"/>
  <c r="L21" i="5" s="1"/>
  <c r="K20" i="5"/>
  <c r="L20" i="5" s="1"/>
  <c r="K19" i="5"/>
  <c r="L19" i="5" s="1"/>
  <c r="K18" i="5"/>
  <c r="L18" i="5" s="1"/>
  <c r="K17" i="5"/>
  <c r="L17" i="5" s="1"/>
  <c r="K16" i="5"/>
  <c r="L16" i="5" s="1"/>
  <c r="K15" i="5"/>
  <c r="L15" i="5" s="1"/>
  <c r="K14" i="5"/>
  <c r="L14" i="5" s="1"/>
  <c r="K13" i="5"/>
  <c r="L13" i="5" s="1"/>
  <c r="K12" i="5"/>
  <c r="L12" i="5" s="1"/>
  <c r="K11" i="5"/>
  <c r="L11" i="5" s="1"/>
  <c r="K10" i="5"/>
  <c r="L10" i="5" s="1"/>
  <c r="K9" i="5"/>
  <c r="L9" i="5" s="1"/>
  <c r="K8" i="5"/>
  <c r="L8" i="5" s="1"/>
  <c r="K7" i="5"/>
  <c r="L7" i="5" s="1"/>
  <c r="K6" i="5"/>
  <c r="L6" i="5" s="1"/>
  <c r="K5" i="5"/>
  <c r="L5" i="5" s="1"/>
  <c r="K4" i="5"/>
  <c r="L4" i="5" s="1"/>
  <c r="K3" i="5"/>
  <c r="L3" i="5" s="1"/>
  <c r="K2" i="5"/>
  <c r="L2" i="5" s="1"/>
  <c r="K76" i="4"/>
  <c r="L76" i="4" s="1"/>
  <c r="K75" i="4"/>
  <c r="L75" i="4" s="1"/>
  <c r="K74" i="4"/>
  <c r="L74" i="4" s="1"/>
  <c r="K73" i="4"/>
  <c r="L73" i="4" s="1"/>
  <c r="K72" i="4"/>
  <c r="L72" i="4" s="1"/>
  <c r="K71" i="4"/>
  <c r="L71" i="4" s="1"/>
  <c r="K70" i="4"/>
  <c r="L70" i="4" s="1"/>
  <c r="K69" i="4"/>
  <c r="L69" i="4" s="1"/>
  <c r="K68" i="4"/>
  <c r="L68" i="4" s="1"/>
  <c r="K67" i="4"/>
  <c r="L67" i="4" s="1"/>
  <c r="K66" i="4"/>
  <c r="L66" i="4" s="1"/>
  <c r="K65" i="4"/>
  <c r="L65" i="4" s="1"/>
  <c r="K64" i="4"/>
  <c r="L64" i="4" s="1"/>
  <c r="K63" i="4"/>
  <c r="L63" i="4" s="1"/>
  <c r="K62" i="4"/>
  <c r="L62" i="4" s="1"/>
  <c r="K61" i="4"/>
  <c r="L61" i="4" s="1"/>
  <c r="K60" i="4"/>
  <c r="L60" i="4" s="1"/>
  <c r="K59" i="4"/>
  <c r="L59" i="4" s="1"/>
  <c r="K58" i="4"/>
  <c r="L58" i="4" s="1"/>
  <c r="K57" i="4"/>
  <c r="L57" i="4" s="1"/>
  <c r="K56" i="4"/>
  <c r="L56" i="4" s="1"/>
  <c r="K55" i="4"/>
  <c r="L55" i="4" s="1"/>
  <c r="K54" i="4"/>
  <c r="L54" i="4" s="1"/>
  <c r="K53" i="4"/>
  <c r="L53" i="4" s="1"/>
  <c r="K52" i="4"/>
  <c r="L52" i="4" s="1"/>
  <c r="K51" i="4"/>
  <c r="L51" i="4" s="1"/>
  <c r="K50" i="4"/>
  <c r="L50" i="4" s="1"/>
  <c r="K49" i="4"/>
  <c r="L49" i="4" s="1"/>
  <c r="K48" i="4"/>
  <c r="L48" i="4" s="1"/>
  <c r="K47" i="4"/>
  <c r="L47" i="4" s="1"/>
  <c r="K46" i="4"/>
  <c r="L46" i="4" s="1"/>
  <c r="K45" i="4"/>
  <c r="L45" i="4" s="1"/>
  <c r="K44" i="4"/>
  <c r="L44" i="4" s="1"/>
  <c r="K43" i="4"/>
  <c r="L43" i="4" s="1"/>
  <c r="K42" i="4"/>
  <c r="L42" i="4" s="1"/>
  <c r="K41" i="4"/>
  <c r="L41" i="4" s="1"/>
  <c r="K40" i="4"/>
  <c r="L40" i="4" s="1"/>
  <c r="K39" i="4"/>
  <c r="L39" i="4" s="1"/>
  <c r="K38" i="4"/>
  <c r="L38" i="4" s="1"/>
  <c r="K37" i="4"/>
  <c r="L37" i="4" s="1"/>
  <c r="K36" i="4"/>
  <c r="L36" i="4" s="1"/>
  <c r="K35" i="4"/>
  <c r="L35" i="4" s="1"/>
  <c r="K34" i="4"/>
  <c r="L34" i="4" s="1"/>
  <c r="K33" i="4"/>
  <c r="L33" i="4" s="1"/>
  <c r="K32" i="4"/>
  <c r="L32" i="4" s="1"/>
  <c r="K31" i="4"/>
  <c r="L31" i="4" s="1"/>
  <c r="K30" i="4"/>
  <c r="L30" i="4" s="1"/>
  <c r="K29" i="4"/>
  <c r="L29" i="4" s="1"/>
  <c r="K28" i="4"/>
  <c r="L28" i="4" s="1"/>
  <c r="K27" i="4"/>
  <c r="L27" i="4" s="1"/>
  <c r="K26" i="4"/>
  <c r="L26" i="4" s="1"/>
  <c r="K25" i="4"/>
  <c r="L25" i="4" s="1"/>
  <c r="K24" i="4"/>
  <c r="L24" i="4" s="1"/>
  <c r="K23" i="4"/>
  <c r="L23" i="4" s="1"/>
  <c r="K22" i="4"/>
  <c r="L22" i="4" s="1"/>
  <c r="K21" i="4"/>
  <c r="L21" i="4" s="1"/>
  <c r="K20" i="4"/>
  <c r="L20" i="4" s="1"/>
  <c r="K19" i="4"/>
  <c r="L19" i="4" s="1"/>
  <c r="K18" i="4"/>
  <c r="L18" i="4" s="1"/>
  <c r="K17" i="4"/>
  <c r="L17" i="4" s="1"/>
  <c r="K16" i="4"/>
  <c r="L16" i="4" s="1"/>
  <c r="K15" i="4"/>
  <c r="L15" i="4" s="1"/>
  <c r="K14" i="4"/>
  <c r="L14" i="4" s="1"/>
  <c r="K13" i="4"/>
  <c r="L13" i="4" s="1"/>
  <c r="K12" i="4"/>
  <c r="L12" i="4" s="1"/>
  <c r="K11" i="4"/>
  <c r="L11" i="4" s="1"/>
  <c r="K10" i="4"/>
  <c r="L10" i="4" s="1"/>
  <c r="K9" i="4"/>
  <c r="L9" i="4" s="1"/>
  <c r="K8" i="4"/>
  <c r="L8" i="4" s="1"/>
  <c r="K7" i="4"/>
  <c r="L7" i="4" s="1"/>
  <c r="K6" i="4"/>
  <c r="L6" i="4" s="1"/>
  <c r="K5" i="4"/>
  <c r="L5" i="4" s="1"/>
  <c r="K4" i="4"/>
  <c r="L4" i="4" s="1"/>
  <c r="K3" i="4"/>
  <c r="L3" i="4" s="1"/>
  <c r="K2" i="4"/>
  <c r="L2" i="4" s="1"/>
  <c r="J76" i="3"/>
  <c r="K76" i="3" s="1"/>
  <c r="J75" i="3"/>
  <c r="K75" i="3" s="1"/>
  <c r="J74" i="3"/>
  <c r="K74" i="3" s="1"/>
  <c r="J73" i="3"/>
  <c r="K73" i="3" s="1"/>
  <c r="J72" i="3"/>
  <c r="K72" i="3" s="1"/>
  <c r="J71" i="3"/>
  <c r="K71" i="3" s="1"/>
  <c r="J70" i="3"/>
  <c r="K70" i="3" s="1"/>
  <c r="J69" i="3"/>
  <c r="K69" i="3" s="1"/>
  <c r="J68" i="3"/>
  <c r="K68" i="3" s="1"/>
  <c r="J67" i="3"/>
  <c r="K67" i="3" s="1"/>
  <c r="J66" i="3"/>
  <c r="K66" i="3" s="1"/>
  <c r="J65" i="3"/>
  <c r="K65" i="3" s="1"/>
  <c r="J64" i="3"/>
  <c r="K64" i="3" s="1"/>
  <c r="J63" i="3"/>
  <c r="K63" i="3" s="1"/>
  <c r="J62" i="3"/>
  <c r="K62" i="3" s="1"/>
  <c r="J61" i="3"/>
  <c r="K61" i="3" s="1"/>
  <c r="J60" i="3"/>
  <c r="K60" i="3" s="1"/>
  <c r="J59" i="3"/>
  <c r="K59" i="3" s="1"/>
  <c r="J58" i="3"/>
  <c r="K58" i="3" s="1"/>
  <c r="J57" i="3"/>
  <c r="K57" i="3" s="1"/>
  <c r="J56" i="3"/>
  <c r="K56" i="3" s="1"/>
  <c r="J55" i="3"/>
  <c r="K55" i="3" s="1"/>
  <c r="J54" i="3"/>
  <c r="K54" i="3" s="1"/>
  <c r="J53" i="3"/>
  <c r="K53" i="3" s="1"/>
  <c r="J52" i="3"/>
  <c r="K52" i="3" s="1"/>
  <c r="J51" i="3"/>
  <c r="K51" i="3" s="1"/>
  <c r="J50" i="3"/>
  <c r="K50" i="3" s="1"/>
  <c r="J49" i="3"/>
  <c r="K49" i="3" s="1"/>
  <c r="J48" i="3"/>
  <c r="K48" i="3" s="1"/>
  <c r="J47" i="3"/>
  <c r="K47" i="3" s="1"/>
  <c r="J46" i="3"/>
  <c r="K46" i="3" s="1"/>
  <c r="J45" i="3"/>
  <c r="K45" i="3" s="1"/>
  <c r="J44" i="3"/>
  <c r="K44" i="3" s="1"/>
  <c r="J43" i="3"/>
  <c r="K43" i="3" s="1"/>
  <c r="J42" i="3"/>
  <c r="K42" i="3" s="1"/>
  <c r="J41" i="3"/>
  <c r="K41" i="3" s="1"/>
  <c r="J40" i="3"/>
  <c r="K40" i="3" s="1"/>
  <c r="J39" i="3"/>
  <c r="K39" i="3" s="1"/>
  <c r="J38" i="3"/>
  <c r="K38" i="3" s="1"/>
  <c r="J37" i="3"/>
  <c r="K37" i="3" s="1"/>
  <c r="J36" i="3"/>
  <c r="K36" i="3" s="1"/>
  <c r="J35" i="3"/>
  <c r="K35" i="3" s="1"/>
  <c r="J34" i="3"/>
  <c r="K34" i="3" s="1"/>
  <c r="J33" i="3"/>
  <c r="K33" i="3" s="1"/>
  <c r="J32" i="3"/>
  <c r="K32" i="3" s="1"/>
  <c r="J31" i="3"/>
  <c r="K31" i="3" s="1"/>
  <c r="J30" i="3"/>
  <c r="K30" i="3" s="1"/>
  <c r="J29" i="3"/>
  <c r="K29" i="3" s="1"/>
  <c r="J28" i="3"/>
  <c r="K28" i="3" s="1"/>
  <c r="J27" i="3"/>
  <c r="K27" i="3" s="1"/>
  <c r="J26" i="3"/>
  <c r="K26" i="3" s="1"/>
  <c r="J25" i="3"/>
  <c r="K25" i="3" s="1"/>
  <c r="J24" i="3"/>
  <c r="K24" i="3" s="1"/>
  <c r="J23" i="3"/>
  <c r="K23" i="3" s="1"/>
  <c r="J22" i="3"/>
  <c r="K22" i="3" s="1"/>
  <c r="J21" i="3"/>
  <c r="K21" i="3" s="1"/>
  <c r="J20" i="3"/>
  <c r="K20" i="3" s="1"/>
  <c r="J19" i="3"/>
  <c r="K19" i="3" s="1"/>
  <c r="J18" i="3"/>
  <c r="K18" i="3" s="1"/>
  <c r="J17" i="3"/>
  <c r="K17" i="3" s="1"/>
  <c r="J16" i="3"/>
  <c r="K16" i="3" s="1"/>
  <c r="J15" i="3"/>
  <c r="K15" i="3" s="1"/>
  <c r="J14" i="3"/>
  <c r="K14" i="3" s="1"/>
  <c r="J13" i="3"/>
  <c r="K13" i="3" s="1"/>
  <c r="J12" i="3"/>
  <c r="K12" i="3" s="1"/>
  <c r="J11" i="3"/>
  <c r="K11" i="3" s="1"/>
  <c r="J10" i="3"/>
  <c r="K10" i="3" s="1"/>
  <c r="J9" i="3"/>
  <c r="K9" i="3" s="1"/>
  <c r="J8" i="3"/>
  <c r="K8" i="3" s="1"/>
  <c r="J7" i="3"/>
  <c r="K7" i="3" s="1"/>
  <c r="J6" i="3"/>
  <c r="K6" i="3" s="1"/>
  <c r="J5" i="3"/>
  <c r="K5" i="3" s="1"/>
  <c r="J4" i="3"/>
  <c r="K4" i="3" s="1"/>
  <c r="J3" i="3"/>
  <c r="K3" i="3" s="1"/>
  <c r="J2" i="3"/>
  <c r="K2" i="3" s="1"/>
  <c r="J76" i="2"/>
  <c r="K76" i="2" s="1"/>
  <c r="J75" i="2"/>
  <c r="K75" i="2" s="1"/>
  <c r="J74" i="2"/>
  <c r="K74" i="2" s="1"/>
  <c r="J73" i="2"/>
  <c r="K73" i="2" s="1"/>
  <c r="J72" i="2"/>
  <c r="K72" i="2" s="1"/>
  <c r="J71" i="2"/>
  <c r="K71" i="2" s="1"/>
  <c r="J70" i="2"/>
  <c r="K70" i="2" s="1"/>
  <c r="J69" i="2"/>
  <c r="K69" i="2" s="1"/>
  <c r="J68" i="2"/>
  <c r="K68" i="2" s="1"/>
  <c r="J67" i="2"/>
  <c r="K67" i="2" s="1"/>
  <c r="J66" i="2"/>
  <c r="K66" i="2" s="1"/>
  <c r="J65" i="2"/>
  <c r="K65" i="2" s="1"/>
  <c r="J64" i="2"/>
  <c r="K64" i="2" s="1"/>
  <c r="J63" i="2"/>
  <c r="K63" i="2" s="1"/>
  <c r="J62" i="2"/>
  <c r="K62" i="2" s="1"/>
  <c r="J61" i="2"/>
  <c r="K61" i="2" s="1"/>
  <c r="J60" i="2"/>
  <c r="K60" i="2" s="1"/>
  <c r="J59" i="2"/>
  <c r="K59" i="2" s="1"/>
  <c r="J58" i="2"/>
  <c r="K58" i="2" s="1"/>
  <c r="J57" i="2"/>
  <c r="K57" i="2" s="1"/>
  <c r="J56" i="2"/>
  <c r="K56" i="2" s="1"/>
  <c r="J55" i="2"/>
  <c r="K55" i="2" s="1"/>
  <c r="J54" i="2"/>
  <c r="K54" i="2" s="1"/>
  <c r="J53" i="2"/>
  <c r="K53" i="2" s="1"/>
  <c r="J52" i="2"/>
  <c r="K52" i="2" s="1"/>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s="1"/>
  <c r="J8" i="2"/>
  <c r="K8" i="2" s="1"/>
  <c r="J7" i="2"/>
  <c r="K7" i="2" s="1"/>
  <c r="J6" i="2"/>
  <c r="K6" i="2" s="1"/>
  <c r="J5" i="2"/>
  <c r="K5" i="2" s="1"/>
  <c r="J4" i="2"/>
  <c r="K4" i="2" s="1"/>
  <c r="J3" i="2"/>
  <c r="K3" i="2" s="1"/>
  <c r="J2" i="2"/>
  <c r="K2" i="2" s="1"/>
  <c r="H5" i="2" l="1"/>
  <c r="H9" i="2"/>
  <c r="H13" i="2"/>
  <c r="H17" i="2"/>
  <c r="H21" i="2"/>
  <c r="H25" i="2"/>
  <c r="H29" i="2"/>
  <c r="H33" i="2"/>
  <c r="H37" i="2"/>
  <c r="H41" i="2"/>
  <c r="H45" i="2"/>
  <c r="H49" i="2"/>
  <c r="H53" i="2"/>
  <c r="H57" i="2"/>
  <c r="H61" i="2"/>
  <c r="H65" i="2"/>
  <c r="H69" i="2"/>
  <c r="H73" i="2"/>
  <c r="H4" i="3"/>
  <c r="H8" i="3"/>
  <c r="H12" i="3"/>
  <c r="H16" i="3"/>
  <c r="H20" i="3"/>
  <c r="H24" i="3"/>
  <c r="H28" i="3"/>
  <c r="H32" i="3"/>
  <c r="H36" i="3"/>
  <c r="H40" i="3"/>
  <c r="H44" i="3"/>
  <c r="H48" i="3"/>
  <c r="H52" i="3"/>
  <c r="H56" i="3"/>
  <c r="H60" i="3"/>
  <c r="H64" i="3"/>
  <c r="H68" i="3"/>
  <c r="H72" i="3"/>
  <c r="H76" i="3"/>
  <c r="I3" i="4"/>
  <c r="I7" i="4"/>
  <c r="I11" i="4"/>
  <c r="I15" i="4"/>
  <c r="I19" i="4"/>
  <c r="I23" i="4"/>
  <c r="I27" i="4"/>
  <c r="I31" i="4"/>
  <c r="I35" i="4"/>
  <c r="I39" i="4"/>
  <c r="I43" i="4"/>
  <c r="I47" i="4"/>
  <c r="I51" i="4"/>
  <c r="I55" i="4"/>
  <c r="I59" i="4"/>
  <c r="I63" i="4"/>
  <c r="I67" i="4"/>
  <c r="I71" i="4"/>
  <c r="I75" i="4"/>
  <c r="I3" i="5"/>
  <c r="I7" i="5"/>
  <c r="I11" i="5"/>
  <c r="I15" i="5"/>
  <c r="I19" i="5"/>
  <c r="I23" i="5"/>
  <c r="I27" i="5"/>
  <c r="I31" i="5"/>
  <c r="I35" i="5"/>
  <c r="I39" i="5"/>
  <c r="I43" i="5"/>
  <c r="I47" i="5"/>
  <c r="I51" i="5"/>
  <c r="I55" i="5"/>
  <c r="I59" i="5"/>
  <c r="I63" i="5"/>
  <c r="I67" i="5"/>
  <c r="I71" i="5"/>
  <c r="I75" i="5"/>
  <c r="H2" i="2"/>
  <c r="H6" i="2"/>
  <c r="H10" i="2"/>
  <c r="H14" i="2"/>
  <c r="H18" i="2"/>
  <c r="H22" i="2"/>
  <c r="H26" i="2"/>
  <c r="H30" i="2"/>
  <c r="H34" i="2"/>
  <c r="H38" i="2"/>
  <c r="H42" i="2"/>
  <c r="H46" i="2"/>
  <c r="H50" i="2"/>
  <c r="H54" i="2"/>
  <c r="H58" i="2"/>
  <c r="H62" i="2"/>
  <c r="H66" i="2"/>
  <c r="H70" i="2"/>
  <c r="H74" i="2"/>
  <c r="H5" i="3"/>
  <c r="H9" i="3"/>
  <c r="H13" i="3"/>
  <c r="H17" i="3"/>
  <c r="H21" i="3"/>
  <c r="H25" i="3"/>
  <c r="H29" i="3"/>
  <c r="H33" i="3"/>
  <c r="H37" i="3"/>
  <c r="H41" i="3"/>
  <c r="H45" i="3"/>
  <c r="H49" i="3"/>
  <c r="H53" i="3"/>
  <c r="H57" i="3"/>
  <c r="H61" i="3"/>
  <c r="H65" i="3"/>
  <c r="H69" i="3"/>
  <c r="H73" i="3"/>
  <c r="I4" i="4"/>
  <c r="I8" i="4"/>
  <c r="I12" i="4"/>
  <c r="I16" i="4"/>
  <c r="I20" i="4"/>
  <c r="I24" i="4"/>
  <c r="I28" i="4"/>
  <c r="I32" i="4"/>
  <c r="I36" i="4"/>
  <c r="I40" i="4"/>
  <c r="I44" i="4"/>
  <c r="I48" i="4"/>
  <c r="I52" i="4"/>
  <c r="I56" i="4"/>
  <c r="I60" i="4"/>
  <c r="I64" i="4"/>
  <c r="I68" i="4"/>
  <c r="I72" i="4"/>
  <c r="I76" i="4"/>
  <c r="I4" i="5"/>
  <c r="I8" i="5"/>
  <c r="I12" i="5"/>
  <c r="I16" i="5"/>
  <c r="I20" i="5"/>
  <c r="I24" i="5"/>
  <c r="I28" i="5"/>
  <c r="I32" i="5"/>
  <c r="I36" i="5"/>
  <c r="I40" i="5"/>
  <c r="I44" i="5"/>
  <c r="I48" i="5"/>
  <c r="I52" i="5"/>
  <c r="I56" i="5"/>
  <c r="I60" i="5"/>
  <c r="I64" i="5"/>
  <c r="I68" i="5"/>
  <c r="I72" i="5"/>
  <c r="I76" i="5"/>
  <c r="H3" i="2"/>
  <c r="H7" i="2"/>
  <c r="H11" i="2"/>
  <c r="H15" i="2"/>
  <c r="H19" i="2"/>
  <c r="H23" i="2"/>
  <c r="H27" i="2"/>
  <c r="H31" i="2"/>
  <c r="H35" i="2"/>
  <c r="H39" i="2"/>
  <c r="H43" i="2"/>
  <c r="H47" i="2"/>
  <c r="H51" i="2"/>
  <c r="H55" i="2"/>
  <c r="H59" i="2"/>
  <c r="H63" i="2"/>
  <c r="H67" i="2"/>
  <c r="H71" i="2"/>
  <c r="H75" i="2"/>
  <c r="H2" i="3"/>
  <c r="H6" i="3"/>
  <c r="H10" i="3"/>
  <c r="H14" i="3"/>
  <c r="H18" i="3"/>
  <c r="H22" i="3"/>
  <c r="H26" i="3"/>
  <c r="H30" i="3"/>
  <c r="H34" i="3"/>
  <c r="H38" i="3"/>
  <c r="H42" i="3"/>
  <c r="H46" i="3"/>
  <c r="H50" i="3"/>
  <c r="H54" i="3"/>
  <c r="H58" i="3"/>
  <c r="H62" i="3"/>
  <c r="H66" i="3"/>
  <c r="H70" i="3"/>
  <c r="H74" i="3"/>
  <c r="I5" i="4"/>
  <c r="I9" i="4"/>
  <c r="I13" i="4"/>
  <c r="I17" i="4"/>
  <c r="I21" i="4"/>
  <c r="I25" i="4"/>
  <c r="I29" i="4"/>
  <c r="I33" i="4"/>
  <c r="I37" i="4"/>
  <c r="I41" i="4"/>
  <c r="I45" i="4"/>
  <c r="I49" i="4"/>
  <c r="I53" i="4"/>
  <c r="I57" i="4"/>
  <c r="I61" i="4"/>
  <c r="I65" i="4"/>
  <c r="I69" i="4"/>
  <c r="I73" i="4"/>
  <c r="I5" i="5"/>
  <c r="I9" i="5"/>
  <c r="I13" i="5"/>
  <c r="I17" i="5"/>
  <c r="I21" i="5"/>
  <c r="I25" i="5"/>
  <c r="I29" i="5"/>
  <c r="I33" i="5"/>
  <c r="I37" i="5"/>
  <c r="I41" i="5"/>
  <c r="I45" i="5"/>
  <c r="I49" i="5"/>
  <c r="I53" i="5"/>
  <c r="I57" i="5"/>
  <c r="I61" i="5"/>
  <c r="I65" i="5"/>
  <c r="I69" i="5"/>
  <c r="I73" i="5"/>
  <c r="H4" i="2"/>
  <c r="H8" i="2"/>
  <c r="H12" i="2"/>
  <c r="H16" i="2"/>
  <c r="H20" i="2"/>
  <c r="H24" i="2"/>
  <c r="H28" i="2"/>
  <c r="H32" i="2"/>
  <c r="H36" i="2"/>
  <c r="H40" i="2"/>
  <c r="H44" i="2"/>
  <c r="H48" i="2"/>
  <c r="H52" i="2"/>
  <c r="H56" i="2"/>
  <c r="H60" i="2"/>
  <c r="H64" i="2"/>
  <c r="H68" i="2"/>
  <c r="H72" i="2"/>
  <c r="H76" i="2"/>
  <c r="H3" i="3"/>
  <c r="H7" i="3"/>
  <c r="H11" i="3"/>
  <c r="H15" i="3"/>
  <c r="H19" i="3"/>
  <c r="H23" i="3"/>
  <c r="H27" i="3"/>
  <c r="H31" i="3"/>
  <c r="H35" i="3"/>
  <c r="H39" i="3"/>
  <c r="H43" i="3"/>
  <c r="H47" i="3"/>
  <c r="H51" i="3"/>
  <c r="H55" i="3"/>
  <c r="H59" i="3"/>
  <c r="H63" i="3"/>
  <c r="H67" i="3"/>
  <c r="H71" i="3"/>
  <c r="H75" i="3"/>
  <c r="I2" i="4"/>
  <c r="I6" i="4"/>
  <c r="I10" i="4"/>
  <c r="I14" i="4"/>
  <c r="I18" i="4"/>
  <c r="I22" i="4"/>
  <c r="I26" i="4"/>
  <c r="I30" i="4"/>
  <c r="I34" i="4"/>
  <c r="I38" i="4"/>
  <c r="I42" i="4"/>
  <c r="I46" i="4"/>
  <c r="I50" i="4"/>
  <c r="I54" i="4"/>
  <c r="I58" i="4"/>
  <c r="I62" i="4"/>
  <c r="I66" i="4"/>
  <c r="I70" i="4"/>
  <c r="I74" i="4"/>
  <c r="I2" i="5"/>
  <c r="I6" i="5"/>
  <c r="I10" i="5"/>
  <c r="I14" i="5"/>
  <c r="I18" i="5"/>
  <c r="I22" i="5"/>
  <c r="I26" i="5"/>
  <c r="I30" i="5"/>
  <c r="I34" i="5"/>
  <c r="I38" i="5"/>
  <c r="I42" i="5"/>
  <c r="I46" i="5"/>
  <c r="I50" i="5"/>
  <c r="I54" i="5"/>
  <c r="I58" i="5"/>
  <c r="I62" i="5"/>
  <c r="I66" i="5"/>
  <c r="I70" i="5"/>
  <c r="I74" i="5"/>
</calcChain>
</file>

<file path=xl/sharedStrings.xml><?xml version="1.0" encoding="utf-8"?>
<sst xmlns="http://schemas.openxmlformats.org/spreadsheetml/2006/main" count="1620" uniqueCount="864">
  <si>
    <t>Compiled CUET PG Test Tracker</t>
  </si>
  <si>
    <t>HOW TO REUSE THESE SHEETS FOR YOUR OWN CBT ATTEMPTS:</t>
  </si>
  <si>
    <t>1. Take the mock test using your CBT testing facility.</t>
  </si>
  <si>
    <t>2. Generate and download the CSV containing your test attempt.</t>
  </si>
  <si>
    <t>3. Copy your answers directly from your generated CSV.</t>
  </si>
  <si>
    <t>4. Open this workbook and navigate to the respective year's sheet.</t>
  </si>
  <si>
    <t>5. Paste your attempt into the respective attempt column (e.g., 'My Attempt' or 'My Choice').</t>
  </si>
  <si>
    <t>6. The Excel formulas embedded in the 'Result' and 'Marks' columns will automatically evaluate your answer and calculate your score! (+4 for correct, -1 for incorrect, 0 for unattempted)</t>
  </si>
  <si>
    <t>Serial No</t>
  </si>
  <si>
    <t>Question ID</t>
  </si>
  <si>
    <t>Actual Question</t>
  </si>
  <si>
    <t>Correct Option ID</t>
  </si>
  <si>
    <t>Correct Option Text</t>
  </si>
  <si>
    <t>Option Alphabet</t>
  </si>
  <si>
    <t>My Choice</t>
  </si>
  <si>
    <t>Marks</t>
  </si>
  <si>
    <t>Time (s)</t>
  </si>
  <si>
    <t>Result</t>
  </si>
  <si>
    <t># of Incorrect</t>
  </si>
  <si>
    <t>Question ID.1</t>
  </si>
  <si>
    <t>Questions incorrect or Unattempted</t>
  </si>
  <si>
    <t>Q with Doubts</t>
  </si>
  <si>
    <t xml:space="preserve">Problems specific To some questions </t>
  </si>
  <si>
    <t>Statement-I: In the simple linear regression model with an intercept, the regression slope when multiplied by the explanatory variable X will give the predicted Y. Statement-II: In the simple linear regression model, the regression slope indicates by how many units Y increases, given a one-unit increase in X.</t>
  </si>
  <si>
    <t>92090616104</t>
  </si>
  <si>
    <t>Statement I is incorrect but Statement II is correct</t>
  </si>
  <si>
    <t>D</t>
  </si>
  <si>
    <t>Which one of the following is the principal operating instrument of monetary policy of RBI currently?</t>
  </si>
  <si>
    <t>DROP</t>
  </si>
  <si>
    <t>A</t>
  </si>
  <si>
    <t>A function is strictly concave in the interval I, if for all a, b in I and lambda in (0,1):</t>
  </si>
  <si>
    <t>92090616109</t>
  </si>
  <si>
    <t>f[(1-lambda)a + lambdab] &gt; (1-lambda)f(a) + lambdaf(b)</t>
  </si>
  <si>
    <t>Which body decides the share of states in the tax revenues of the Centre in India?</t>
  </si>
  <si>
    <t>92090616115</t>
  </si>
  <si>
    <t>Finance Commission</t>
  </si>
  <si>
    <t>C</t>
  </si>
  <si>
    <t>Daniel Thorner referred to colonial investment in ______ as 'private investment at public risk'.</t>
  </si>
  <si>
    <t>92090616119</t>
  </si>
  <si>
    <t>railways</t>
  </si>
  <si>
    <t xml:space="preserve">Please explain I don't know who Daniel was  </t>
  </si>
  <si>
    <t>In correlation analysis, we measure the:</t>
  </si>
  <si>
    <t>92090616121</t>
  </si>
  <si>
    <t>degree of linear association between two variables</t>
  </si>
  <si>
    <t xml:space="preserve">What about the other options  </t>
  </si>
  <si>
    <t>Given the assumptions of the classical linear regression model, the ordinary least square estimators possess some optimum properties given in the Gauss-Markov theorem. Which of the following is not a part of this theorem?</t>
  </si>
  <si>
    <t>92090616126</t>
  </si>
  <si>
    <t>The expected value of beta_hat_2 is equal to zero</t>
  </si>
  <si>
    <t>B</t>
  </si>
  <si>
    <t xml:space="preserve">Please tell me about fullly about Gauss Markov theorem what The theory behind the answer is </t>
  </si>
  <si>
    <t>The fiscal deficit, revenue deficit and interest payments of a country are R 53,344, R 34,355 and R 10,144 crores respectively. What is the primary deficit?</t>
  </si>
  <si>
    <t>92090616129</t>
  </si>
  <si>
    <t>R 43,200 crores</t>
  </si>
  <si>
    <t>For the utility function u(x,y)=xy and given budget constraint M=pxx + pyy, what is the optimum bundle of consumption of x and y?</t>
  </si>
  <si>
    <t>92090616134</t>
  </si>
  <si>
    <t>(M/2Px, M/2Py)</t>
  </si>
  <si>
    <t>The expansion path identifies:</t>
  </si>
  <si>
    <t>92090616137</t>
  </si>
  <si>
    <t>the least-cost combination of inputs required to produce various levels of output</t>
  </si>
  <si>
    <t xml:space="preserve"> This is referring to the locus of the point That the tangent of the isoquant want makes with the iso cost line right </t>
  </si>
  <si>
    <t>The data on State Domestic Product are collected for one state of India for the period 1990 to 2010. Such a dataset is an example of:</t>
  </si>
  <si>
    <t>92090616142</t>
  </si>
  <si>
    <t>time series data</t>
  </si>
  <si>
    <t xml:space="preserve">Please explain what the other options are how to classify any data Or examples of the other options also </t>
  </si>
  <si>
    <t>Statement-I: In the short-run, the rising part of the marginal cost curve is due to diminishing marginal product. Statement-II: In the short-run, the falling part of the marginal cost curve implies existence of diminishing marginal product.</t>
  </si>
  <si>
    <t>92090616147</t>
  </si>
  <si>
    <t>Statement I is true but Statement II is false</t>
  </si>
  <si>
    <t>Assertion (A): Coase theorem states that as long as property rights are defined and enforced, bargaining between parties can ensure an efficient outcome in the presence of externalities. Reason (R): The assignment of property rights with bargaining among parties can resolve externality problems, when the number of parties involved is large.</t>
  </si>
  <si>
    <t>92090616151</t>
  </si>
  <si>
    <t>(A) is correct but (R) is not correct</t>
  </si>
  <si>
    <t xml:space="preserve"> I answered option b For this question That the reason is not correct But the statement of the reason is correct Is this wrong Can't coassist theorem Resolve Or result in efficient outcomes if there are large number of parties involved </t>
  </si>
  <si>
    <t>Consider an economy with perfect capital mobility, fixed price level and fixed exchange rate. What will be the effect of a rise in foreign interest rate on output of this economy?</t>
  </si>
  <si>
    <t>92090616154</t>
  </si>
  <si>
    <t>Decline</t>
  </si>
  <si>
    <t xml:space="preserve">This was a tough one How does one go about this fully mathematically Do we assume that The extern Income has also changed And so on other factors </t>
  </si>
  <si>
    <t>Match List-I with List-II. List-I: (A) The shape of an indifference curve for two bads (B) The shape of an indifference curve for one good and one bad (C) The shape of an indifference curve for one good Y and one neutral X (D) The shape of an indifference curve for one bad Y and one neutral X. List-II: (I) Horizontal, parallel to X-axis, utility rises as move to a lower indifference curve (II) Concave to the origin (III) Upward sloping (IV) Horizontal, parallel to X-axis, utility higher for a higher indifference curve</t>
  </si>
  <si>
    <t>92090616158</t>
  </si>
  <si>
    <t>(A)-(II);(B)-(III);(C)-(IV);(D)-(I)</t>
  </si>
  <si>
    <t>Match List-I with List-II. List-I (Books/Works): (A) Evolution of Provincial Finance in British India (B) Essays on Indian Economics (C) Hind Swaraj (D) Poverty and Un-British Rule in India. List-II (Authors): (I) M. K. Gandhi (II) B. R. Ambedkar (III) Dadabhai Naoroji (IV) Mahadev Govind Ranade</t>
  </si>
  <si>
    <t>92090616162</t>
  </si>
  <si>
    <t>(A)-(II);(B)-(IV);(C)-(I);(D)-(III)</t>
  </si>
  <si>
    <t xml:space="preserve">Explain all the books there Theory behind who wrote them and when </t>
  </si>
  <si>
    <t>Match List-I with List-II. List-I: (A) Mode (B) Quartile deviation (C) Correlation coefficient (D) Standard error. List-II: (I) Measure of sampling variability (II) Measure of strength of linear relation (III) Measure of central tendency (IV) Measure of dispersion</t>
  </si>
  <si>
    <t>92090616167</t>
  </si>
  <si>
    <t>(A)-(III);(B)-(IV);(C)-(II);(D)-(I)</t>
  </si>
  <si>
    <t>A general linear programming problem which is a maximization problem... can be set up in the following way: (A) Specify the inequality constraints... (B) Solve the problem and plot the constraints... (C) Specify the criterion function... (D) The optimal solutions... can be used to find the maximum value... Order the steps.</t>
  </si>
  <si>
    <t>92090616170</t>
  </si>
  <si>
    <t>C, A, B, D</t>
  </si>
  <si>
    <t>Arrange the following in chronological order starting with the earliest: (A) Nationalization of banks (B) Establishment of RBI (C) Launch of MNREGA (D) Second Five Year Plan (E) Establishment of SEBI</t>
  </si>
  <si>
    <t>92090616174</t>
  </si>
  <si>
    <t>B, D, A, E, C</t>
  </si>
  <si>
    <t>Arrange the books in chronological order of publication: (A) Theories of Surplus Value (B) The General Theory of Employment, Interest and Money (C) On the Principles of Political Economy and Taxation (D) An Inquiry into the Nature and Causes of the Wealth of Nations</t>
  </si>
  <si>
    <t>92090616178</t>
  </si>
  <si>
    <t>D, C, A, B</t>
  </si>
  <si>
    <t>Assertion (A): The inverse of y=f(x)=e^x exists for all x &gt; 0. Reason (R): f(x) is differentiable and monotonic for all x &gt; 0.</t>
  </si>
  <si>
    <t>92090616181</t>
  </si>
  <si>
    <t>Both (A) and (R) are true and (R) is the correct explanation of (A)</t>
  </si>
  <si>
    <t xml:space="preserve">I answered Option b For this question Because I thought the reason was not explaining Why it only exists for X greater than zero  Shouldn't the answer for this then B option b </t>
  </si>
  <si>
    <t>Assertion (A): According to the first theorem of welfare economics, a competitive equilibrium is Pareto efficient. Reason (R): According to the Walras law, the value of aggregate excess demand is zero for all prices.</t>
  </si>
  <si>
    <t>92090616186</t>
  </si>
  <si>
    <t>Both (A) and (R) are true but (R) is not the correct explanation of (A)</t>
  </si>
  <si>
    <t xml:space="preserve">I thought the Walrus law said that  All markets clear out simultaneously For a given price vector That is special </t>
  </si>
  <si>
    <t>Assertion (A): A club good is non-rival and excludable in consumption. Reason (R): A public good is non-rival and non-excludable in consumption.</t>
  </si>
  <si>
    <t>92090616190</t>
  </si>
  <si>
    <t>Both (A) and (R) are correct but (R) is not the correct explanation of (A)</t>
  </si>
  <si>
    <t xml:space="preserve">Please tell what club good </t>
  </si>
  <si>
    <t>Assertion (A): While calculating GDP using the expenditure approach, the value of imports is subtracted. Reason (R): Imports are included when value of consumption and other components of expenditure are calculated.</t>
  </si>
  <si>
    <t>92090616193</t>
  </si>
  <si>
    <t>Assertion (A): For a differential equation x_dot + ax = b for a != 0, F(x) = x_dot = b - ax and the equilibrium is at x = b/a. This equilibrium is stable for a &gt; 0. Reason (R): The equilibrium is obtained for x_dot = 0. Stability is obtained when F'(x) &lt; 0. Here F'(x) = -a and so equilibrium is stable if a &gt; 0.</t>
  </si>
  <si>
    <t>92090616197</t>
  </si>
  <si>
    <t>Not Attempted</t>
  </si>
  <si>
    <t xml:space="preserve">How to solve this </t>
  </si>
  <si>
    <t>Statement-I: When the demand curve shifts if the supply curve is steeper, then the price change is larger and the change in the amount bought and sold is smaller, as compared to the flatter supply curve. Statement-II: When the supply curve shifts if the demand curve is steeper, then the price change is larger and the change in the amount bought and sold is smaller, as compared to the flatter demand curve.</t>
  </si>
  <si>
    <t>92090616201</t>
  </si>
  <si>
    <t>Both Statement I and Statement II are true</t>
  </si>
  <si>
    <t xml:space="preserve">Please tell me the theory behind this app to make graphs To visualise </t>
  </si>
  <si>
    <t>Statement I: Let (x1,x2) be the chosen bundle when prices are (p1,p2) and let (y1,y2) is some other bundle such that p1x1+p2x2 &gt;= p1y1+p2y2. Then if the consumer is choosing the most preferred bundle she can afford, we must have (x1,x2) &gt; (y1,y2). Statement-II: If one bundle is chosen when another could have been chosen, we can say that the first bundle is revealed preferred to the second.</t>
  </si>
  <si>
    <t>92090616205</t>
  </si>
  <si>
    <t>Here it is not written that the bundle Y When affordable That bundle X is also affordable . What if bundle Y costs less than bundle X With the given information it could also happen that the person cannot buy bundle X</t>
  </si>
  <si>
    <t>Statement-I: In 2020 a farmer purchased 5 new tractors at 2,00,000 each. He sold his 5 old tractors to other farmers for 50,000 each in same year. The net increase in GDP 2020 due to these transactions was 12,50,000. Statement-II: In 2020 a farmer purchased 5 new tractors at 2,00,000 each. He sold his 5 old tractors to other farmers for 50,000 each in same year. The net increase in GDP of year 2020 due to these transactions was 10,00,000.</t>
  </si>
  <si>
    <t>92090616212</t>
  </si>
  <si>
    <t>Statement I is false but Statement II is true</t>
  </si>
  <si>
    <t>Statement I: The price consumption curve is negatively sloped for a Giffen good. Statement-II: All Giffen goods are inferior goods but all inferior goods are not Giffen goods.</t>
  </si>
  <si>
    <t>92090616213</t>
  </si>
  <si>
    <t xml:space="preserve">I think I'm misunderstanding what price consumption curve is I thought this was the line representing the relation between price And the consumption The particular good And for a given good this should be positively slope right The more the price increases the more you will consume of that good </t>
  </si>
  <si>
    <t>Statement-I: When the economy is in liquidity trap, the LM curve is horizontal. Statement-II: Fiscal policy is ineffective when the economy is in liquidity trap.</t>
  </si>
  <si>
    <t>92090616219</t>
  </si>
  <si>
    <t>Match List-I with List-II. List-I: (A) Cournot Nash equilibrium (B) Stackelberg model (C) Kinked demand curve model (D) Bertrand model. List-II: (I) Price leadership model (II) Non-collusive (III) First-mover advantage fixing quantities (IV) Price-rigidity model</t>
  </si>
  <si>
    <t>92090616224</t>
  </si>
  <si>
    <t>Match List-I with List-II. List-I: (A) Phillips curve (B) Vertical AS curve (C) Golden rule level of savings (D) Ricardian equivalence. List-II: (I) Consumption per capita maximum at steady state (II) Debt financing by bond issues merely postpones taxation (III) Trade-off between inflation and unemployment (IV) No long-run trade-off between inflation and unemployment</t>
  </si>
  <si>
    <t>92090616226</t>
  </si>
  <si>
    <t>(A)-(III);(B)-(IV);(C)-(I);(D)-(II)</t>
  </si>
  <si>
    <t>Match List-I with List-II. List-I: (A) Corporate insolvency resolution process (B) Nationally Determined Contribution (C) Finance Commission (D) Ayushman Bharat PMJAY. List-II: (I) Health cover for poor and vulnerable families (II) Addressing horizontal and vertical imbalances (III) National Company Law Tribunal (IV) Reduction of carbon emissions</t>
  </si>
  <si>
    <t>92090616230</t>
  </si>
  <si>
    <t>Consider the following for natural monopoly: (A) When the firm's average cost of producing a good continuously declines, a natural monopoly arises. (B) Under natural monopoly, economic profits are positive or greater than zero in equilibrium. (C) A market is a natural monopoly when a good is produced most economically by a single firm. (D) Natural monopoly follows marginal cost pricing at all times. Choose the correct answer:</t>
  </si>
  <si>
    <t>92090616235</t>
  </si>
  <si>
    <t>A and C only</t>
  </si>
  <si>
    <t xml:space="preserve">Here why are option B and D wrong I think they should be correct too </t>
  </si>
  <si>
    <t>The following is related to land revenue settlements in colonial India: (A) Bengal and Bihar had Permanent land revenue settlement, UP and Punjab had Ryotwari system and Madras Presidency had Mahalwari system. (B) All regions had the same land revenue settlement. (C) Bengal and Bihar had Permanent settlement and UP had Mahalwari system. (D) Bengal and Bihar had Ryotwari system and Madras Presidency had Mahalwari system. (E) UP and Punjab had Mahalwari system and Deccan and Madras Presidency had Ryotwari system. Choose the correct answer:</t>
  </si>
  <si>
    <t>92090616240</t>
  </si>
  <si>
    <t>C, E only</t>
  </si>
  <si>
    <t>A kinked demand curve under oligopoly necessarily implies: (A) a discontinuity in the marginal revenue schedule (B) a gap in the marginal cost schedule (C) formal collusion in price determination (D) the price need not be above marginal revenue</t>
  </si>
  <si>
    <t>92090616242</t>
  </si>
  <si>
    <t>A only</t>
  </si>
  <si>
    <t xml:space="preserve">I don't know the theory behind this question please explain and answer </t>
  </si>
  <si>
    <t>Consider a two-sector model: Smaller the marginal propensity to save (MPS), (A) Steeper saving function (B) Smaller value of the multiplier (C) Consumption function has flat slope (D) Larger value of the multiplier (E) Flatter saving function. Choose the most appropriate answer:</t>
  </si>
  <si>
    <t>92090616247</t>
  </si>
  <si>
    <t>D and E only</t>
  </si>
  <si>
    <t>Match List-I with List-II. List-I: (A) Dandi March (B) Swadeshi Movement (C) Champaran Movement (D) Deccan Riots. List-II: (I) Peasant indebtedness (II) Peasant freedom over choice of crop (III) State monopoly over salt production (IV) Deindustrialization</t>
  </si>
  <si>
    <t>92090616250</t>
  </si>
  <si>
    <t>(A)-(III); (B)-(IV); (C)-(II); (D)-(I)</t>
  </si>
  <si>
    <t xml:space="preserve">Please explain when these events happened what they were for </t>
  </si>
  <si>
    <t>The sequence in chronological order of the events in world economy starting from the earliest is: (A) East Asian Financial Crisis (B) Outbreak of COVID-19 (C) Global Financial Crisis (D) War in Ukraine (E) New Economic Policy (India)</t>
  </si>
  <si>
    <t>92090616253</t>
  </si>
  <si>
    <t>E, A, C, B, D</t>
  </si>
  <si>
    <t xml:space="preserve">Tell me about new economic policy </t>
  </si>
  <si>
    <t>The sequence of wage-price flexibility approach of Pigou is: (A) Wages and prices decline (B) Real value of assets increases (C) Cost decline and price decline result in price of assets falling (D) Unemployment increases (E) Less savings would be undertaken and consumption increases, output rises</t>
  </si>
  <si>
    <t>92090616259</t>
  </si>
  <si>
    <t>D, A, C, B, E</t>
  </si>
  <si>
    <t xml:space="preserve">Please explain the theory behind this question And also the option given Here it is saying that After the price of the assets fall the real value of assets So just after that increases how is that possible </t>
  </si>
  <si>
    <t>For the per capita production function y = k^0.5 what is the level of capital per capita at steady state assuming depreciation (delta) = 0.1 and rate of saving = 0.4? The rate of growth of population is assumed as 0.</t>
  </si>
  <si>
    <t>92090616263</t>
  </si>
  <si>
    <t>16</t>
  </si>
  <si>
    <t>LM curve represents the locus of all those combinations of y and i which satisfy M/P = L(y,i) for given values of M and P. What is the value of dy/di?</t>
  </si>
  <si>
    <t>92090616268</t>
  </si>
  <si>
    <t>- L'_i / L'_y</t>
  </si>
  <si>
    <t>Suppose that the manager of a store estimates the probability of any customer entering the store making a purchase is 0.3. What is the expected number of customers making a purchase from a randomly selected set of 10 customers?</t>
  </si>
  <si>
    <t>92090616269</t>
  </si>
  <si>
    <t>3</t>
  </si>
  <si>
    <t>For a random variable X, it is given that E(X^2) = 16 and E(X) = 2. What is the value of variance for this distribution?</t>
  </si>
  <si>
    <t>92090616273</t>
  </si>
  <si>
    <t>12</t>
  </si>
  <si>
    <t>One of the assumptions of the classical linear regression model is that all the values of the explanatory variable X must</t>
  </si>
  <si>
    <t>92090616278</t>
  </si>
  <si>
    <t>not all be the same</t>
  </si>
  <si>
    <t>The solution of the difference equation x_t = (1/2)x_{t-1} + 3 is:</t>
  </si>
  <si>
    <t>92090616281</t>
  </si>
  <si>
    <t>x_t = (1/2)^t (x_0 - 6) + 6</t>
  </si>
  <si>
    <t xml:space="preserve">How to solve this I was able to find the steady state But there are cases where the steady state are also not here Found like the Fibonacci sequence Or were just finding the steady state would not have given me the answer  </t>
  </si>
  <si>
    <t>The demand for money L = 0.25 Y and the supply of money M/P = 500. In this case</t>
  </si>
  <si>
    <t>92090616285</t>
  </si>
  <si>
    <t>the LM curve is vertical and defined by Y=2000 and this defines the classical case</t>
  </si>
  <si>
    <t>Suppose the expected rate of inflation in India is 10% whereas that in US is 4%. What is the expected rate of depreciation of Indian rupee vis-a-vis US Dollar, according to the relative purchasing power parity theory?</t>
  </si>
  <si>
    <t>92090616289</t>
  </si>
  <si>
    <t>0.06</t>
  </si>
  <si>
    <t>The economy of INDUS grows at 6% per annum and its investment ratio is 31.2%. What is the capital output ratio of this economy, by the assumptions of the Harrod-Domar model?</t>
  </si>
  <si>
    <t>92090616294</t>
  </si>
  <si>
    <t>5.2</t>
  </si>
  <si>
    <t xml:space="preserve">Does this uses Icor ratio </t>
  </si>
  <si>
    <t>Including the Governor of the Reserve Bank of India, how many members are there in the Monetary Policy Committee?</t>
  </si>
  <si>
    <t>92090616300</t>
  </si>
  <si>
    <t>6</t>
  </si>
  <si>
    <t>The Committee to review the working of monetary system headed by _______ recommended monetary targeting in India.</t>
  </si>
  <si>
    <t>92090616302</t>
  </si>
  <si>
    <t>Sukhamoy Chakravarty</t>
  </si>
  <si>
    <t xml:space="preserve">Please tell about all the person mentioned in the options </t>
  </si>
  <si>
    <t>According to the Baumol-Tobin transaction demand for money approach, the optimum number of transactions is</t>
  </si>
  <si>
    <t>92090616306</t>
  </si>
  <si>
    <t>directly related to interest rate and income and inversely related to transaction costs</t>
  </si>
  <si>
    <t>If aLX/aLY and aLX^r/aLY^r are the opportunity costs of producing X in terms of Y in countries A and B, and pX/pY is the international price ratio of X to Y. Both the countries will go for complete specialization when</t>
  </si>
  <si>
    <t>92090616309</t>
  </si>
  <si>
    <t>aLX/aLY &lt; pX/pY &lt; aLX^r/aLY^r</t>
  </si>
  <si>
    <t xml:space="preserve">I don't know the theory behind this I think should be by the theory given by Ricardo Please explain the theory and the way to solve such questions </t>
  </si>
  <si>
    <t>For a random variable X, E(X-mu)^4 = 16 [where mu=E(X)] and E(X-mu)^2 = 2. What is the value of Kurtosis for this variable?</t>
  </si>
  <si>
    <t>92090616313</t>
  </si>
  <si>
    <t>4</t>
  </si>
  <si>
    <t>A consumer has a demand function for good X given by D(P) = 100 - P. Where P is the price of good X. If the price of good X is Rs. 50, the value of consumer's surplus is</t>
  </si>
  <si>
    <t>92090616317</t>
  </si>
  <si>
    <t>1250</t>
  </si>
  <si>
    <t>The currency to deposit ratio of an economy is 0.2 and the reserve to deposit ratio is 0.1. The value of the money multiplier is</t>
  </si>
  <si>
    <t>92090616324</t>
  </si>
  <si>
    <t xml:space="preserve">What formula is this using </t>
  </si>
  <si>
    <t>Suppose z = f(x,y) is homogeneous of degree k. Which of the following statements is true?</t>
  </si>
  <si>
    <t>92090616327</t>
  </si>
  <si>
    <t>d^2z/dy^2 is homogeneous of degree (k-2)</t>
  </si>
  <si>
    <t>Second-order Taylor series approximation of f(x) = ln(1+x) at x=0 is:</t>
  </si>
  <si>
    <t>92090616329</t>
  </si>
  <si>
    <t>x - x^2/2</t>
  </si>
  <si>
    <t>Tobin's q ratio refers to</t>
  </si>
  <si>
    <t>92090616333</t>
  </si>
  <si>
    <t>the ratio of the market value of the firm's assets to the cost of producing those assets</t>
  </si>
  <si>
    <t xml:space="preserve">Please explain the theory and then solve the question </t>
  </si>
  <si>
    <t>Suppose that for a random sample of size 10, the value of covariance between two variables X and Y is 100 and the standard deviations of X and Y are 5 and 20 respectively. What is the value of regression coefficient in regression of Y on X?</t>
  </si>
  <si>
    <t>92090616337</t>
  </si>
  <si>
    <t>Given below are two statements: Statement-I: Between 1901-1951 in India, the relative product per worker in industry increased from above average to far above average and the relative product per worker in agriculture decreased from below average to even further below. Statement-II: Between 1901-1951 in India, deindustrialization definitely occurred.</t>
  </si>
  <si>
    <t>92090616343</t>
  </si>
  <si>
    <t xml:space="preserve">I thought de industrialization happened during this. How is that not an answer </t>
  </si>
  <si>
    <t>Match List-I with List-II. List-I (Utility functions U(x1,x2)): (A) C x1^a x2^b (B) (x1+2)(x2+1) (C) ax1 + b sqrt(x2) (D) (x1^a + x2^a)^b. List-II (MRS x1,x2): (I) -(x2+1)/(x1+2) (II) -(x1/x2)^(a-1) (III) -ax2/bx1 (IV) -2a sqrt(x2) / b</t>
  </si>
  <si>
    <t>92090616347</t>
  </si>
  <si>
    <t>(A)-(III); (B)-(I); (C)-(IV); (D)-(I)</t>
  </si>
  <si>
    <t>Let A = [[p, -q], [q, p]] be a 2x2 matrix. (A) The rank of matrix A given by r(A) is 2 (B) Matrix A is orthogonal if and only if p^2 + q^2 = 1 (C) Transpose of matrix A is given by A^T = [[p, q], [-q, p]] (D) Determinant of matrix A is |A| = p. Choose the most appropriate answer:</t>
  </si>
  <si>
    <t>92090616351</t>
  </si>
  <si>
    <t>B and C only</t>
  </si>
  <si>
    <t>Which of the following points lie in the convex set of points (2, 3) and (4, 1)? A. (3.6, 1.4) B. (1.2, 3.8) C. (2.4, 2.6) D. (0.4, 4.6)</t>
  </si>
  <si>
    <t>92090616355</t>
  </si>
  <si>
    <t>Consider a competitive market. Suppose per unit commodity tax is imposed on the sellers. A. a tax on the commodity creates a wedge between the price the buyers pay and the price which sellers receive. B. post tax equilibrium quantity increases. C. if the supply is more elastic than demand then the tax burden falls more heavily on buyers. D. if the demand is more elastic than supply then the tax burden falls more heavily on buyers. E. imposition of the tax creates dead weight loss. Choose the most appropriate answer:</t>
  </si>
  <si>
    <t>92090616359</t>
  </si>
  <si>
    <t>A, C, E only</t>
  </si>
  <si>
    <t>Arrange the following in the order of occurrence starting from the earliest to the latest: A. Ayushman Sahakar Scheme B. Samarth Scheme or Scheme for Capacity Building in the Textile Sector C. Ayushman Bharat Programme or Pradhan Mantri Jan Arogya Yojana (PM-JAY) D. PM Kusum Scheme E. National Policy for Skill Development and Entrepreneurship</t>
  </si>
  <si>
    <t>92090616362</t>
  </si>
  <si>
    <t>E, B, C, D, A</t>
  </si>
  <si>
    <t xml:space="preserve">Please tell about all the schemes mentioned and then the answer to the question </t>
  </si>
  <si>
    <t>Integral of [(e^(4lnx) - e^(3lnx)) / (e^(4lnx) - e^(2lnx))] dx equals:</t>
  </si>
  <si>
    <t>92090616366</t>
  </si>
  <si>
    <t>x^3/3 + x^2/2 + C</t>
  </si>
  <si>
    <t>An industry has two firms. They face an inverse demand function P = 200 - 4Q and a constant unit cost of Rs 8.0. The Cournot duopoly equilibrium price (P) and Quantity (Q) will be:</t>
  </si>
  <si>
    <t>92090616370</t>
  </si>
  <si>
    <t>72, 32 respectively</t>
  </si>
  <si>
    <t>The simple neoclassical Solow model assumes</t>
  </si>
  <si>
    <t>92090616374</t>
  </si>
  <si>
    <t>Harrod-neutral technological change</t>
  </si>
  <si>
    <t xml:space="preserve">I thought the simple solow model was given by the formula Y is equal to K Alpha In per capita form Meaning there was no technological factor here Is this wrong </t>
  </si>
  <si>
    <t>Integral of 100^x dx = ?</t>
  </si>
  <si>
    <t>92090616377</t>
  </si>
  <si>
    <t>100^x / ln(100) + C</t>
  </si>
  <si>
    <t>Find dy/dx if xsqrt(1+y) + ysqrt(1+x) = 0.</t>
  </si>
  <si>
    <t>92090616381</t>
  </si>
  <si>
    <t>-1 / (1+x)^2</t>
  </si>
  <si>
    <t xml:space="preserve">I couldn’t solve this question To get the answer only in terms of the variable X here </t>
  </si>
  <si>
    <t>Suppose the slope coefficient in regression of Y on X is 15. What will be the slope coefficient in regression of Y+10 on X-5?</t>
  </si>
  <si>
    <t>92090616387</t>
  </si>
  <si>
    <t>15</t>
  </si>
  <si>
    <t>Suppose the distribution of weights of students in a college is normal with mean 60 kg and standard deviation 3 kg. Which of the following areas from the standard normal distribution gives the probability of a randomly selected student having weight less than 66 kg?</t>
  </si>
  <si>
    <t>92090616390</t>
  </si>
  <si>
    <t>Area to the left of z = 2</t>
  </si>
  <si>
    <t>If you draw a random sample of size 25 from a population whose standard deviation is 10, what will be the standard error of sample mean?</t>
  </si>
  <si>
    <t>92090616394</t>
  </si>
  <si>
    <t>2</t>
  </si>
  <si>
    <t>Fully sterilized intervention by the Central Bank at the time of capital inflows leads to which of the following changes in Central Bank Balance Sheet?</t>
  </si>
  <si>
    <t>92090616397</t>
  </si>
  <si>
    <t>Rise in net foreign assets and decline in domestic assets</t>
  </si>
  <si>
    <t xml:space="preserve">Please explain the theory and then answer the question </t>
  </si>
  <si>
    <t>Markets fail in the presence of: A. Market power B. Positive Externalities C. Negative Externalities D. Competitive market E. Asymmetric information</t>
  </si>
  <si>
    <t>A, B, C, E only</t>
  </si>
  <si>
    <t>Match List I with List II. List I: (A) Private Goods (B) Club Goods (C) Common Pool Resources (D) Public Goods. List II: (I) Non-Rival in consumption and excludable (II) Rival in consumption and excludable (III) Non rival in consumption and Non-excludable (IV) Rival in consumption and Non-excludable</t>
  </si>
  <si>
    <t>A-II, B-I, C-IV, D-III</t>
  </si>
  <si>
    <t>Which of the following statements are correct? A. Life cycle hypothesis was propounded by Francois Modigliani B. Absolute Income Hypothesis was propounded by Milton Friedman C. Relative Income Hypothesis was propounded by James Duesenberry. D. Permanent Income Hypothesis was propounded by John Maynard Keynes</t>
  </si>
  <si>
    <t>A &amp; C only</t>
  </si>
  <si>
    <t>Assertion A: Pareto optimality implies that an allocation of resources is inefficient when it is possible... to benefit at least one person without making anyone else worse off. Reason R: Pareto efficiency takes into account distributive justice and compensation of people affected negatively.</t>
  </si>
  <si>
    <t>A is correct but R is not correct.</t>
  </si>
  <si>
    <t>What is the number of degrees of freedom of the residual sum of squares in a simple bivariate linear regression with 100 observations?</t>
  </si>
  <si>
    <t>98</t>
  </si>
  <si>
    <t xml:space="preserve">Is this because two degrees of freedom are gone for one for estimating the intercept and 1 for estimating the slope </t>
  </si>
  <si>
    <t>For a level curve of f(x,y)=x^2y what is the value of dy/dx?</t>
  </si>
  <si>
    <t>-2y/x</t>
  </si>
  <si>
    <t>What is the degree of homogeneity of f(x,y) = x^3/y + y^3/x?</t>
  </si>
  <si>
    <t>Data collected at a point in time are called</t>
  </si>
  <si>
    <t>Cross-sectional data</t>
  </si>
  <si>
    <t>The budget presented in the Parliament on the 1st of February 2023 for the financial year 2023-24 has the Revised Estimated (RE) and Actuals, of the financial years ___ and ___ respectively.</t>
  </si>
  <si>
    <t>2022-23 and 2021-22</t>
  </si>
  <si>
    <t>The maximum value of the monetary policy multiplier is ___ (where b implies sensitivity of planned investment spending to interest rate, c implies marginal propensity to consume, t = marginal tax rate, k implies sensitivity of money demand to interest rate).</t>
  </si>
  <si>
    <t>1 / k</t>
  </si>
  <si>
    <t xml:space="preserve">I don't understand how this multiply is coming about using ISLM model my multiplier comes As the denominator having three different terms And then numerator having a term. By my workings all of the options were incorrect  </t>
  </si>
  <si>
    <t>A firm in a perfectly competitive market is making zero economic profit in the long run. It will have the incentive to:</t>
  </si>
  <si>
    <t>Continue to operate as it is</t>
  </si>
  <si>
    <t xml:space="preserve">Why couldn't the  answer be the option that they will move on to another industry </t>
  </si>
  <si>
    <t>Which of the following production functions is NOT homogeneous of degree one?</t>
  </si>
  <si>
    <t>Q = a L^(3/4) K^(1/2)</t>
  </si>
  <si>
    <t>The law of diminishing returns to a factor is observed when employment of additional units of a resource leads to</t>
  </si>
  <si>
    <t>A decline in marginal physical product</t>
  </si>
  <si>
    <t xml:space="preserve">Why couldn't the answer to this be a decline in the average product </t>
  </si>
  <si>
    <t>Match List I with List II. List I (Book): (A) Wealth of Nations (B) Principles of Political Economy (C) Theories of Surplus Value (D) General Theory... List II (Author): (I) David Ricardo (II) John Maynard Keynes (III) Karl Marx (IV) Adam Smith.</t>
  </si>
  <si>
    <t>A-IV, B-I, C-III, D-II</t>
  </si>
  <si>
    <t>Which of the following are correct in presence of negative externalities?</t>
  </si>
  <si>
    <t>A, B and D only</t>
  </si>
  <si>
    <t>Statement I: In the extreme case of perfect price discrimination the dead weight loss of monopoly is completely eliminated... Statement II: Imperfect price discrimination necessarily increases welfare compared to single monopoly price.</t>
  </si>
  <si>
    <t>Statement I is correct but Statement II is incorrect</t>
  </si>
  <si>
    <t xml:space="preserve">Isnt it true that any type of discrimination in price would lead to a higher total welfare than A monopoly only operating at one price </t>
  </si>
  <si>
    <t>Statement I: Coefficient of correlation can not be less than - 1. Statement II: Regression coefficient can not be less than - 1.</t>
  </si>
  <si>
    <t>Statement I: Normal distribution is positively skewed. Statement II: Normal distribution is leptokurtic.</t>
  </si>
  <si>
    <t>Both Statement I and Statement II are false</t>
  </si>
  <si>
    <t>Match List I (Cost Functions from TC=20+10q-3q^2+q^3) with List II (Derived Costs).</t>
  </si>
  <si>
    <t>A-IV, B-I, C-II, D-III</t>
  </si>
  <si>
    <t>Choose the correct statement(s) for an open economy:</t>
  </si>
  <si>
    <t>A and B only</t>
  </si>
  <si>
    <t>Suppose the US interest rate is 3% per annum. The Rs-$ exchange rate in spot market is 80 and in 3 month forward market is 81. What is the per annum return on US bond in rupee terms?</t>
  </si>
  <si>
    <t>0.08</t>
  </si>
  <si>
    <t xml:space="preserve">  Good quest Totally did not see the forward rate was for three months and I need to annualize it </t>
  </si>
  <si>
    <t>The function e^(-1/2 x^2) is:</t>
  </si>
  <si>
    <t>concave for |x|&lt;1 and convex for |x|&gt;1</t>
  </si>
  <si>
    <t>The Garran Tribunal was constituted during the colonial times to:</t>
  </si>
  <si>
    <t>discuss and decide about the division of financial responsibilities between India and Britain on military expenditure.</t>
  </si>
  <si>
    <t xml:space="preserve">Please tell me the theory behind this and other tribunals There were in colonial times </t>
  </si>
  <si>
    <t>Suppose in a closed economy aggregate demand is given by AD=A(y,i)... What is dy/di along the IS curve?</t>
  </si>
  <si>
    <t>Ai / (1-Ay')</t>
  </si>
  <si>
    <t>Among the new monetary aggregates of RBI... which one includes time deposits of maturity up to 1 year but not longer maturity?</t>
  </si>
  <si>
    <t>NM2</t>
  </si>
  <si>
    <t xml:space="preserve">Does the new monetary measure aggregate to really have included the time deposits of up to one year And then the monetary aggregate 3 would have till All the time deposits </t>
  </si>
  <si>
    <t>The rate of growth of the output of an economy... is 5%. Shares of capital 0.6, labour 0.4. Growth of capital 10%, labour 5%. What is Solow residual?</t>
  </si>
  <si>
    <t>-0.03</t>
  </si>
  <si>
    <t xml:space="preserve">I don't know what solo residual is Is this calculating The growth In output due to technological change And if so what is the exact formula how it comes about </t>
  </si>
  <si>
    <t>For the per capita production function y = k^0.5; what is the level of savings rate at which the consumption per capita is maximised at steady state? (delta = 0.1, n = 0)</t>
  </si>
  <si>
    <t>0.5</t>
  </si>
  <si>
    <t>Consider an economy with perfect capital mobility, fixed price level and flexible exchange rate. What will be the effect of a rise in foreign interest rate on output?</t>
  </si>
  <si>
    <t>rise</t>
  </si>
  <si>
    <t>If the inverse demand function is P=A-BQ, where A and B are positive constants, what is the elasticity at Q = A/2B?</t>
  </si>
  <si>
    <t>1</t>
  </si>
  <si>
    <t>Which one of the following renowned economists was a member of the Royal Commission on Currency and Finance of 1913?</t>
  </si>
  <si>
    <t>John Maynard Keynes</t>
  </si>
  <si>
    <t xml:space="preserve">Please tell me the theory and about What this commission was </t>
  </si>
  <si>
    <t>Match List I with List II. (A) Quant Theory (B) Exchange Rate Overshooting (C) Law of One Price (D) Liquidity Inference. Authors: (I) James Tobin (II) Irving Fisher (III) Rudiger Dornbusch (IV) Gustav Cassel.</t>
  </si>
  <si>
    <t>A-II, B-III, C-IV, D-I</t>
  </si>
  <si>
    <t>Which of the following statements is/are correct in AX=0?</t>
  </si>
  <si>
    <t>A, B and C only</t>
  </si>
  <si>
    <t>During the high noon of the British Empire, which of the following statement(s) is/are true? (Regarding current account surplus/deficit with India and rest of world).</t>
  </si>
  <si>
    <t>A, E</t>
  </si>
  <si>
    <t xml:space="preserve">What does the high noon of British Empire mean and the theory behind the questions </t>
  </si>
  <si>
    <t>Statement I: A large share of the expenditure in the government budget during the colonial period is referred to as Home charges... Statement II: On the depreciation of the Indian rupee, the expenditure... used to decrease...</t>
  </si>
  <si>
    <t>I thought the answer to this question would be Option A but As I thought that They are not able to pay as much home charges as the revenue collection would have remained in rupee and that's why expenditure was not done</t>
  </si>
  <si>
    <t>Suppose massive capital outflows cause nominal exchange rate to depreciate by 10%. At the same time, foreign and domestic price levels rise by 5% and 20% respectively. What will be the approximate change in real exchange rate?</t>
  </si>
  <si>
    <t>Depreciation by 2.5%</t>
  </si>
  <si>
    <t xml:space="preserve">I don't understand how the answer comes about to be optiony My answer is coming as appreciation or depreciation by 5% depending on which definition you use   </t>
  </si>
  <si>
    <t>The inverse of a function: x = sqrt(3y+9) is</t>
  </si>
  <si>
    <t>1/3 x^2 - 3</t>
  </si>
  <si>
    <t>With good X on the horizontal axis and good Y on the vertical axis, a U shaped indifference curve indicates:</t>
  </si>
  <si>
    <t>X good then bad: Y good</t>
  </si>
  <si>
    <t xml:space="preserve">I don't understand how to Do these questions mathematically can you please explain </t>
  </si>
  <si>
    <t>Second order Taylor series expansion of y = ln(1-x) is:</t>
  </si>
  <si>
    <t>-x - x^2/2</t>
  </si>
  <si>
    <t>Suppose that in a given college, proportion of admitted students who complete their degree is 0.7. What is the expected number of students who will complete their degree from a random sample of 20 students?</t>
  </si>
  <si>
    <t>14</t>
  </si>
  <si>
    <t>Find the general solution of the differential equation: dx/x + dy/y = 0</t>
  </si>
  <si>
    <t>xy = c</t>
  </si>
  <si>
    <t xml:space="preserve">I think this is not the general equation Right because we havent solved for The integration having modulus is when integrated </t>
  </si>
  <si>
    <t>The possible inflection points for f(x) = 1/9 x^3 - 1/6 x^2 - 2/3 x + 1 is/are:</t>
  </si>
  <si>
    <t>x = 1/2</t>
  </si>
  <si>
    <t>Find the scalars lambda1 and lambda2 that are attached to v=[1, 2] and w=[3, 1] to yield [1, 0].</t>
  </si>
  <si>
    <t>lambda1 = -1/5, lambda2 = 2/5</t>
  </si>
  <si>
    <t>Suppose the correlation coefficient between two variables X and Y is 0.6, what proportion of variation in Y is explained by variation in X?</t>
  </si>
  <si>
    <t>0.36</t>
  </si>
  <si>
    <t>For a strictly convex function f(x), which one of the following is true? [0 &lt; lambda &lt; 1]</t>
  </si>
  <si>
    <t>lambda f(x1) + (1-lambda) f(x2) &gt; f[lambda x1 + (1-lambda) x2]</t>
  </si>
  <si>
    <t>Linear regression model is:</t>
  </si>
  <si>
    <t>Linear in parameters and may not be linear in variables</t>
  </si>
  <si>
    <t>In the expression Yi = beta1 + beta2 Xi + ui, ui gives the difference between:</t>
  </si>
  <si>
    <t>the actual and estimated Y values</t>
  </si>
  <si>
    <t>You are given the following data for two variables X and Y: Mean X = 2.00, Mean Y = 4.67. Regression coefficient of Y on X = 1.50. What is the estimated value of intercept in the regression of Y on X?</t>
  </si>
  <si>
    <t>1.67</t>
  </si>
  <si>
    <t>Suppose that for a random sample of size 10, sample covariance between variables X and Y is 100, and sample variances of X and Y are 25 and 400 respectively. What is the value of sample correlation coefficient between X and Y?</t>
  </si>
  <si>
    <t xml:space="preserve">Best sample size Have Effect on the covariance And correlation of Sample </t>
  </si>
  <si>
    <t>The consumption function is given by C = 100 + 0.8y and the investment is given by I = 50. For which of the following level of output the level of unplanned inventories would be negative?</t>
  </si>
  <si>
    <t>740</t>
  </si>
  <si>
    <t>The maximum value of Fiscal policy multiplier is (b implies sensitivity of planned investment...)</t>
  </si>
  <si>
    <t>1 / (1-c(1-t))</t>
  </si>
  <si>
    <t>What are they aren't assuming any effect from the Money supply point of Side</t>
  </si>
  <si>
    <t>The following data of an economy is given: Consumption C=300+0.8(1-t)Y; Investment I=900-50i; Govt G=800; Tax t=0.25. The IS equation corresponding to the above is:</t>
  </si>
  <si>
    <t>Y = 5000 - 125i</t>
  </si>
  <si>
    <t>The currency to deposit ratio of an economy is 0.2 and the reserve to deposit rates is 0.1... What happens to the value of money multiplier if the currency to deposit ratio for whatever reason is now at 0.4?</t>
  </si>
  <si>
    <t>The money multiplier falls from 4 to 2.8</t>
  </si>
  <si>
    <t>What is RBI's target of inflation for the period 2021-26?</t>
  </si>
  <si>
    <t>4 +/- 2%</t>
  </si>
  <si>
    <t>As per the Marshall Lerner conditions. for the trade balance to improve following depreciation of the currency:</t>
  </si>
  <si>
    <t>the sum of the elasticities of exports and imports should be greater than 1</t>
  </si>
  <si>
    <t>Statement I: In case of inferior goods, Engel curve is upward sloping. Statement II: In case of normal goods, Engel curve is downward sloping.</t>
  </si>
  <si>
    <t xml:space="preserve">Is the angel curve drawn Income Good space or in X good vs y good space </t>
  </si>
  <si>
    <t>Arrange the following former Governors of RBI in the chronological order... A. C. Rangaswami (likely C. Rangarajan) B. D. Subbarao C. I. G. Patel D. Y. V. Reddy E. Bimal Jalan</t>
  </si>
  <si>
    <t>C, A, E, D &amp; B</t>
  </si>
  <si>
    <t xml:space="preserve">Please tell me the correct order Of doing it And also tell me the Last five governors last 10 governors </t>
  </si>
  <si>
    <t>Arrange the following events in Indian economy in chronological order: A. GST bill B. IT Act C. Demonetisation D. PM Jan Dhan Yojana E. Sugamya Bharat Abhiyan</t>
  </si>
  <si>
    <t>B, D, E, C, A</t>
  </si>
  <si>
    <t xml:space="preserve">Excluding GST and Demonetization Tell me about the other options descriptively </t>
  </si>
  <si>
    <t>Arrange the following in correct chronological order: A. 1st meeting of Monetary Policy committee B. EXIM Bank C. FEMA D. Digital India E. Narasimhan Committee-II</t>
  </si>
  <si>
    <t>B, E, C, D, A</t>
  </si>
  <si>
    <t>Arrange the following in the chronological order: A. Loentief Paradox B. Factor proportions Theory C. Absolute Advantage Theory D. Comparative Advantage Theory</t>
  </si>
  <si>
    <t>C, D, B, A</t>
  </si>
  <si>
    <t>Assertion A: For a random variable X which has mean=10 and variance=100. the variance of (5x+10) is 2500. Reason R: Var(ax+b)=Var(x)...</t>
  </si>
  <si>
    <t>A is true but R is false</t>
  </si>
  <si>
    <t>Assertion A: For matrix A=[[1,2],[8,16]], rank of A=1. Reason R: For matrix A if |A|=0, then it implies that rank of matrix A is less than full rank.</t>
  </si>
  <si>
    <t>Both A and R are correct and R is the correct explanation of A</t>
  </si>
  <si>
    <t>Assertion A: General equilibrium is attained in an economy when demand equals supply in all markets simultaneously. Reason R: In a general equilibrium model, relative prices cannot be determined.</t>
  </si>
  <si>
    <t>A is correct but R is not correct</t>
  </si>
  <si>
    <t>Assertion A: Let vector a=(x,y,z) and vector b=(2,3,5). Then a=b if and only if x=2, y=3 and z=5. Reason R: Two vectors are equal if all their corresponding components are equal.</t>
  </si>
  <si>
    <t>Assertion A: According to the Heckscher-Ohlin model, free trade results in equalisation of factor prices across nations. Reason R: This is because the model assumes perfect international mobility of the factors of production.</t>
  </si>
  <si>
    <t xml:space="preserve">Please explain Also was it not Samuelson who told that factor prices would normalise And explain the answer to the question </t>
  </si>
  <si>
    <t>Match List I (Theory) with List II (Economist). (A) Neoclassical investment (B) q theory (C) MEC (D) Multiplier-accelerator. (I) Keynes (II) Jorgenson (III) Samuelson (IV) Tobin.</t>
  </si>
  <si>
    <t>A-II, B-IV, C-I, D-III</t>
  </si>
  <si>
    <t xml:space="preserve">Who gave marginal efficiency of capital and who was jorgensen </t>
  </si>
  <si>
    <t>Match List I with List II. (A) Cournot (B) Nash (C) Cournot Collusive (D) Dominant firm. (I) Joint Profit Maximisation (II) Largest firm sets price (III) Each firm correctly assumes... (IV) Set of strategies...</t>
  </si>
  <si>
    <t>A-III, B-IV, C-I, D-II</t>
  </si>
  <si>
    <t>Match List I with List II. (A) PLI Scheme (B) Insolvency and Bankruptcy Code (C) Long Term Repo Operations (D) UPI.</t>
  </si>
  <si>
    <t>A-II, B-III, C-I, D-IV</t>
  </si>
  <si>
    <t>Assertion A: Walras' law states that the value of aggregate excess demand for all markets is zero. Reason R: If (K-1) markets are in equilibrium, then the market for good K will automatically have demand equal to supply.</t>
  </si>
  <si>
    <t>Answer to this question should be option C right because Walrus's law Explicitly states only The dot product Of the aggregate demand with respect to any price vector is zero But here they're telling that the value of the aggregate demand for all Goods are zero</t>
  </si>
  <si>
    <t>Which of the following are correct regarding market structures: A. Monopolistic competition... free entry... B. Oligopoly allows free entry. C. Cartels... D. Monopoly power... E. Competitive market does not allow free entry.</t>
  </si>
  <si>
    <t xml:space="preserve">Please explain the answers to this question </t>
  </si>
  <si>
    <t>Which of the following statements are correct? (Regarding independent monetary/fiscal policy under fixed/flexible exchange rates and perfect capital mobility).</t>
  </si>
  <si>
    <t>A, C and D only</t>
  </si>
  <si>
    <t>Which of the following points lie in the convex set of points (2, 3) and (4, 1)? A. (3.6, 1.4) B. (3.0, 2.0) C. (2.4, 2.6) D. (1.2, 3.8)</t>
  </si>
  <si>
    <t>Arrange in the chronological order: A. Great Depression B. Golden Age of Capitalism C. Second World War D. Setting up of WTO E. Second international oil price shock</t>
  </si>
  <si>
    <t>A, C, B, E, D</t>
  </si>
  <si>
    <t>Statement I: Price signalling refers to implicit collusion... Statement II: Price leadership refers to a pattern of pricing...</t>
  </si>
  <si>
    <t xml:space="preserve">Please explain the theory behind both the concepts mentioned in the statement </t>
  </si>
  <si>
    <t>Statement I: When the economy is in liquidity trap, the LM curve is vertical. Statement II: Monetary policy is ineffective when the economy is in liquidity trap.</t>
  </si>
  <si>
    <t>Assertion A: If a proposition P implies proposition Q, then we can say that P is a sufficient condition for Q... Reason R: For proportion Q to be true it is sufficient that P is true i.e.. Q is a necessary condition for P.</t>
  </si>
  <si>
    <t>SL No.</t>
  </si>
  <si>
    <t>Question</t>
  </si>
  <si>
    <t xml:space="preserve">Doubt questions </t>
  </si>
  <si>
    <t>Correct Option</t>
  </si>
  <si>
    <t>Option</t>
  </si>
  <si>
    <t>My Attempt</t>
  </si>
  <si>
    <t xml:space="preserve">In total questions with doubts And incorrect and attend attempted </t>
  </si>
  <si>
    <t>A trade off is</t>
  </si>
  <si>
    <t>878270177744</t>
  </si>
  <si>
    <t>A constraint that requires giving up one thing to get another</t>
  </si>
  <si>
    <t>If a Production Function is given as Q(x,y)=Ax^a y^b where (a+b)=2...</t>
  </si>
  <si>
    <t>878270177747</t>
  </si>
  <si>
    <t>Increasing returns to scale</t>
  </si>
  <si>
    <t>Assume firm i and firm j have constant marginal cost = c...</t>
  </si>
  <si>
    <t>878270177752</t>
  </si>
  <si>
    <t>Pi = Pj = c</t>
  </si>
  <si>
    <t>If Y = F(L, K) is a linear homogeneous production function...</t>
  </si>
  <si>
    <t>878270177753</t>
  </si>
  <si>
    <t>In the context of a game theory table where firm 1 and firm 2 can cooperate...</t>
  </si>
  <si>
    <t>878270177758</t>
  </si>
  <si>
    <t>compete and compete</t>
  </si>
  <si>
    <t>Keeping a consumer's income constant, if bundle X is chosen by a consumer...</t>
  </si>
  <si>
    <t>878270177762</t>
  </si>
  <si>
    <t>The weak axiom of revealed preference</t>
  </si>
  <si>
    <t>In Ronald Coase's Nobel winning Coase theorem...</t>
  </si>
  <si>
    <t>878270177766</t>
  </si>
  <si>
    <t>They will always reach an efficient bargaining solution for the good.</t>
  </si>
  <si>
    <t>For a manufacturing firm, the cost function is given by C=q^3 + 2q^2 + q + 1...</t>
  </si>
  <si>
    <t>878270177771</t>
  </si>
  <si>
    <t>341 and 121.1</t>
  </si>
  <si>
    <t>An allocation for agents in an economy, x is said to be Pareto superior...</t>
  </si>
  <si>
    <t>878270177774</t>
  </si>
  <si>
    <t>Increases all agents' welfare</t>
  </si>
  <si>
    <t>Suppose an individual has a utility function given by, U(x,y) = 2x + 3y...</t>
  </si>
  <si>
    <t>878270177779</t>
  </si>
  <si>
    <t>Constant marginal rate of substitution</t>
  </si>
  <si>
    <t>For inferior goods, the substitution effect of a price decrease and the income effect...</t>
  </si>
  <si>
    <t>878270177781</t>
  </si>
  <si>
    <t>Work in opposite direction</t>
  </si>
  <si>
    <t>The shutdown point for a profit maximizing competitive firm in the short run...</t>
  </si>
  <si>
    <t>878270177787</t>
  </si>
  <si>
    <t>Average variable cost</t>
  </si>
  <si>
    <t>Services such as the provision of clean air and national security are considered...</t>
  </si>
  <si>
    <t>878270177789</t>
  </si>
  <si>
    <t>Pure public goods</t>
  </si>
  <si>
    <t>Debts which have to be paid at some specific future date are known as</t>
  </si>
  <si>
    <t>*</t>
  </si>
  <si>
    <t>878270177793</t>
  </si>
  <si>
    <t>Redeemable Debts</t>
  </si>
  <si>
    <t>The mark-up as a fraction of price for the profit maximizing quantity Q...</t>
  </si>
  <si>
    <t>878270177798</t>
  </si>
  <si>
    <t>The mark-up is lower for a good with a higher price elasticity of demand</t>
  </si>
  <si>
    <t>If a consumer definitely prefers a payment of INR 50 for sure to a lottery...</t>
  </si>
  <si>
    <t>878270177802</t>
  </si>
  <si>
    <t>Risk averse</t>
  </si>
  <si>
    <t>Mr Tokai is very particular in how he makes his coffee...</t>
  </si>
  <si>
    <t>878270177805</t>
  </si>
  <si>
    <t>1 cup of coffee</t>
  </si>
  <si>
    <t>In a 2x2 general equilibrium model of exchange with goods X and Y...</t>
  </si>
  <si>
    <t>878270177811</t>
  </si>
  <si>
    <t>The MRSxy for consumer 1 is equal to the MRSxy for consumer 2</t>
  </si>
  <si>
    <t>A utility maximizing consumer has a utility function given by U(X,Y)=2X+Y...</t>
  </si>
  <si>
    <t>878270177815</t>
  </si>
  <si>
    <t>X=10, Y=0</t>
  </si>
  <si>
    <t>Stagflation describes a situation of</t>
  </si>
  <si>
    <t>878270177818</t>
  </si>
  <si>
    <t>Rising prices and falling or stagnant output</t>
  </si>
  <si>
    <t>The current account balance in an open economy</t>
  </si>
  <si>
    <t>878270177821</t>
  </si>
  <si>
    <t>Always includes the balance on investment income</t>
  </si>
  <si>
    <t>The current account in a balance of payments Only cares about The value of goods Imported exported Transfer payments The investment part comes inside Capital account doesn't it ?</t>
  </si>
  <si>
    <t>Transfer pricing refers to</t>
  </si>
  <si>
    <t>878270177827</t>
  </si>
  <si>
    <t>The over or under-pricing of goods in intra-firm cross border trade...</t>
  </si>
  <si>
    <t xml:space="preserve">Please explain what transfer pricing is and what the other options refer to </t>
  </si>
  <si>
    <t>If a group of countries abolish trade barriers between themselves and set common tariffs...</t>
  </si>
  <si>
    <t>878270177830</t>
  </si>
  <si>
    <t>A customs union</t>
  </si>
  <si>
    <t xml:space="preserve">Please explain all the options here I thought it was federation </t>
  </si>
  <si>
    <t>Match List-I (Function) with List-II (Derivative)...</t>
  </si>
  <si>
    <t>878270177834</t>
  </si>
  <si>
    <t>A-(I), B-(III), C-(II), D-(IV)</t>
  </si>
  <si>
    <t>Match List-I (Externality) with List-II (Type)...</t>
  </si>
  <si>
    <t>878270177837</t>
  </si>
  <si>
    <t>(A)-(III), (B)-(II), (C)-(I), (D)-(IV)</t>
  </si>
  <si>
    <t xml:space="preserve">Please explain I don't understand which would be production and consumption in externality </t>
  </si>
  <si>
    <t>What does a bank do if there are no excess reserve?</t>
  </si>
  <si>
    <t>878270177842</t>
  </si>
  <si>
    <t>Borrow reserves from other bank</t>
  </si>
  <si>
    <t xml:space="preserve">Why cant the answer to this question be it raises the lending rate </t>
  </si>
  <si>
    <t>Which of the following is not a part of the national income?</t>
  </si>
  <si>
    <t>878270177846</t>
  </si>
  <si>
    <t>The interest amount on the unproductive national debt</t>
  </si>
  <si>
    <t>Why is the Phillips curve negatively sloped?</t>
  </si>
  <si>
    <t>878270177850</t>
  </si>
  <si>
    <t>The bargaining power of the labour unions decreases with rise in unemployment</t>
  </si>
  <si>
    <t xml:space="preserve">Why can't it be that the capitalist's powers have increased </t>
  </si>
  <si>
    <t>If the GDP of an economy be Rs.100 and the autonomous aggregate investment...</t>
  </si>
  <si>
    <t>878270177855</t>
  </si>
  <si>
    <t>Rs. 30</t>
  </si>
  <si>
    <t xml:space="preserve">I want to understand for this question Are we assuming a Keynesian economy That is why as long as investment income is not changing We can't change savings </t>
  </si>
  <si>
    <t>The GDP of an economy is Rs 100 crores. The aggregate saving is Rs. 30 crores...</t>
  </si>
  <si>
    <t>878270177860</t>
  </si>
  <si>
    <t>Rs. 150 crores.</t>
  </si>
  <si>
    <t>Match List-I (Book/Theory) with List-II (Author)...</t>
  </si>
  <si>
    <t>878270177864</t>
  </si>
  <si>
    <t>(A)-(III), (B)-(IV), (C)-(I), (D)-(II)</t>
  </si>
  <si>
    <t xml:space="preserve">How is Adam Smith Giving the theory of moral sentiments Didn't he write wealth of nations and talk about trade invisible hand and </t>
  </si>
  <si>
    <t>Arrange the following events on a chronological order: (A) New Economic Policy...</t>
  </si>
  <si>
    <t>878270177866</t>
  </si>
  <si>
    <t>(B), (D), (C), (A)</t>
  </si>
  <si>
    <t xml:space="preserve">In this I had a question regarding the chronological order of Monopoly inquiry What event and when did this happen </t>
  </si>
  <si>
    <t>Which of the followings are correct in the context of inflation?</t>
  </si>
  <si>
    <t>878270177871</t>
  </si>
  <si>
    <t>(A), (B), (C) and (D).</t>
  </si>
  <si>
    <t>Arrange the following rates in ascending order. (A) Repo Rate...</t>
  </si>
  <si>
    <t>878270177873</t>
  </si>
  <si>
    <t>(D), (A), (C), (B)</t>
  </si>
  <si>
    <t>Which statutory body determines the criteria for tax devolution...</t>
  </si>
  <si>
    <t>878270177879</t>
  </si>
  <si>
    <t>Finance Commission of India.</t>
  </si>
  <si>
    <t>What would be the slope of the LM curve in the interest rate-income plane...</t>
  </si>
  <si>
    <t>878270177883</t>
  </si>
  <si>
    <t>Horizontal</t>
  </si>
  <si>
    <t>What would be the slope of the labour supply curve if there is large scale involuntary unemployment...</t>
  </si>
  <si>
    <t>878270177885</t>
  </si>
  <si>
    <t xml:space="preserve">Why would the slope be horizontal Shouldn't it be vertical at a particular highest Employment  Where labourers are willing to accept any price of the wage </t>
  </si>
  <si>
    <t>Tax holidays and cash grants are example of</t>
  </si>
  <si>
    <t>878270177890</t>
  </si>
  <si>
    <t>Subsidies</t>
  </si>
  <si>
    <t xml:space="preserve">What would be considered for other Options answers </t>
  </si>
  <si>
    <t>What would happen to the rate of interest, in new equilibrium...</t>
  </si>
  <si>
    <t>878270177896</t>
  </si>
  <si>
    <t>It would remain constant.</t>
  </si>
  <si>
    <t>If the expected rate of return from the investment projects in India be 10%...</t>
  </si>
  <si>
    <t>878270177897</t>
  </si>
  <si>
    <t>Zero</t>
  </si>
  <si>
    <t xml:space="preserve">How does one solve this quest My answer was Coming out is negative  I assumed that He had a gain of 10% and then a loss of 10% on that due to the exchange rate Of domestic currency depreciating </t>
  </si>
  <si>
    <t>Arrange the following statements based on Keynesian theory.</t>
  </si>
  <si>
    <t>878270177902</t>
  </si>
  <si>
    <t>(C), (D), (A), (B)</t>
  </si>
  <si>
    <t>Suppose a small country imposes an import tariff on a good...</t>
  </si>
  <si>
    <t>878270177906</t>
  </si>
  <si>
    <t>Producer surplus from the goods will decrease</t>
  </si>
  <si>
    <t xml:space="preserve">I thought producer surpluses The difference between what consumer is willing to pay and The cost Here they're importing a good So shouldn't we see this from the consumer point of view of lens As the good is consumed </t>
  </si>
  <si>
    <t>Arrange the followings in a correct order. (A) Employment and income come down...</t>
  </si>
  <si>
    <t>878270177911</t>
  </si>
  <si>
    <t>(D), (B), (A), (C)</t>
  </si>
  <si>
    <t>Match List-I with List-II. List-I: (A) Money supply is exogenously given...</t>
  </si>
  <si>
    <t>878270177916</t>
  </si>
  <si>
    <t>(A)-(III), (B)-(I), (C)-(IV), (D)-(II)</t>
  </si>
  <si>
    <t>Match List-I with List-II. List-I: (A) Fiscal Deficit...</t>
  </si>
  <si>
    <t>878270177917</t>
  </si>
  <si>
    <t>(A)-(IV), (B)-(III), (C)-(II), (D)-(I)</t>
  </si>
  <si>
    <t>Which of the following statements are true in case of public goods?</t>
  </si>
  <si>
    <t>878270177922</t>
  </si>
  <si>
    <t>(A) and (B) only.</t>
  </si>
  <si>
    <t>Order the following country on the basis of nominal per capita income in year 2022...</t>
  </si>
  <si>
    <t>878270177925</t>
  </si>
  <si>
    <t>(C), (A), (B), (D)</t>
  </si>
  <si>
    <t>Arrange the followings in a correct order. (A) Procurement of foodgrains...</t>
  </si>
  <si>
    <t>878270177932</t>
  </si>
  <si>
    <t>Given a cubic cost function C(Q) = Q^3 + Q^2 + Q + 1...</t>
  </si>
  <si>
    <t>878270177934</t>
  </si>
  <si>
    <t>(A), (D), (B), (C)</t>
  </si>
  <si>
    <t>Assuming x is a whole number greater than or equal to 2...</t>
  </si>
  <si>
    <t>878270177937</t>
  </si>
  <si>
    <t>(A), (C), (B), (D)</t>
  </si>
  <si>
    <t>Suppose X takes the values -10 and 20 with probability 1/4 and 3/4 respectively...</t>
  </si>
  <si>
    <t>878270177943</t>
  </si>
  <si>
    <t>325</t>
  </si>
  <si>
    <t>If Y=20+10X, then Var(Y) is</t>
  </si>
  <si>
    <t>878270177945</t>
  </si>
  <si>
    <t>100*Var(X)</t>
  </si>
  <si>
    <t>Let Y=exp(a+bX), where a and b are constants. Calculate dY/dX</t>
  </si>
  <si>
    <t>878270177951</t>
  </si>
  <si>
    <t>b*exp(a+bX)</t>
  </si>
  <si>
    <t>The relationship between a country's per capita income and its inequality...</t>
  </si>
  <si>
    <t>878270177956</t>
  </si>
  <si>
    <t>Kuznets curve</t>
  </si>
  <si>
    <t xml:space="preserve">Where are the other curves used what are they please explain </t>
  </si>
  <si>
    <t>A dice is rigged in a way that each odd number is twice as likely...</t>
  </si>
  <si>
    <t>878270177960</t>
  </si>
  <si>
    <t>2026-09-04</t>
  </si>
  <si>
    <t>In how many ways can 10 economists attending a conference be accommodated...</t>
  </si>
  <si>
    <t>878270177961</t>
  </si>
  <si>
    <t>210</t>
  </si>
  <si>
    <t xml:space="preserve">Forgot how to do this please explain </t>
  </si>
  <si>
    <t>Suppose we have three coins. The first coin has heads on both sides...</t>
  </si>
  <si>
    <t>878270177966</t>
  </si>
  <si>
    <t>2026-03-01</t>
  </si>
  <si>
    <t xml:space="preserve">Silly mistake </t>
  </si>
  <si>
    <t>Consider a binomial distribution with parameters n and p. The variance...</t>
  </si>
  <si>
    <t>878270177972</t>
  </si>
  <si>
    <t>np(1-p)</t>
  </si>
  <si>
    <t>Which of the following statements are correct? A. In case of a continuous random variable...</t>
  </si>
  <si>
    <t>878270177975</t>
  </si>
  <si>
    <t>(C) only</t>
  </si>
  <si>
    <t>Consider a binomial distribution with a very large N...</t>
  </si>
  <si>
    <t>QUESTION DROPPED</t>
  </si>
  <si>
    <t>-</t>
  </si>
  <si>
    <t>Match List-I (Population Characteristics) with List-II (Stages of Malthusian Model)...</t>
  </si>
  <si>
    <t>878270177982</t>
  </si>
  <si>
    <t>(A)-(I), (B)-(IV), (C)-(II), (D)-(III)</t>
  </si>
  <si>
    <t xml:space="preserve">What is a malthusian model please explain </t>
  </si>
  <si>
    <t>Which of the following statements are valid assumptions of the Ordinary Least Squares...</t>
  </si>
  <si>
    <t>878270177988</t>
  </si>
  <si>
    <t>(A) and (C) only</t>
  </si>
  <si>
    <t>In a Poisson distribution p(x) = (e^-2 * 2^3) / 3!, the mean value is</t>
  </si>
  <si>
    <t>878270177991</t>
  </si>
  <si>
    <t>Which of the following statements hold true when steady state is attained in the Solow Model?</t>
  </si>
  <si>
    <t>878270177995</t>
  </si>
  <si>
    <t>Which of the following statements reflects a property of t distribution?</t>
  </si>
  <si>
    <t>Which of the following are instruments of trade policies?</t>
  </si>
  <si>
    <t>878270178001</t>
  </si>
  <si>
    <t>(A), (B) and (D) only</t>
  </si>
  <si>
    <t xml:space="preserve">Please explain this question and its answer </t>
  </si>
  <si>
    <t>Calculate the weighted arithmetic mean of 10, 20 and 30...</t>
  </si>
  <si>
    <t>878270178006</t>
  </si>
  <si>
    <t>(B), (C), (D), (A)</t>
  </si>
  <si>
    <t>Match List-I (Market organization) with List-II (Type of monopoly pricing)...</t>
  </si>
  <si>
    <t>878270178012</t>
  </si>
  <si>
    <t>The existence of purchasing power parity in an open economy implies that...</t>
  </si>
  <si>
    <t>878270178016</t>
  </si>
  <si>
    <t>(B), (C) and (D) only</t>
  </si>
  <si>
    <t xml:space="preserve">why is option a incorrect Purchasing power For an economy Should we decided by its inflation isn't it </t>
  </si>
  <si>
    <t>Match List-I (Measure) with List-II (Concept)...</t>
  </si>
  <si>
    <t>878270178018</t>
  </si>
  <si>
    <t>Which of the following statements are correct? (I) Monopolistic firms face a horizontal...</t>
  </si>
  <si>
    <t>878270178023</t>
  </si>
  <si>
    <t>(III) and (IV)</t>
  </si>
  <si>
    <t>List the following outcomes in descending order...</t>
  </si>
  <si>
    <t>878270178025</t>
  </si>
  <si>
    <t>Probabilty of a head when one coin is tossed</t>
  </si>
  <si>
    <t>Match List-I (Econometric Term) with List-II (Closest Definition)...</t>
  </si>
  <si>
    <t>878270178030</t>
  </si>
  <si>
    <t>(A)-(I), (B)-(III), (C)-(IV), (D)-(II)</t>
  </si>
  <si>
    <t>Match List-I (Concept) with List-II (Description)...</t>
  </si>
  <si>
    <t>878270178036</t>
  </si>
  <si>
    <t>Satish is very conscious of the food he eats...</t>
  </si>
  <si>
    <t>878270178037</t>
  </si>
  <si>
    <t>He consumes 5 rotis and 5 cups of dal</t>
  </si>
  <si>
    <t>SL</t>
  </si>
  <si>
    <t>Option Letter</t>
  </si>
  <si>
    <t>If the demand function is given as $P=110-Q^{2}$ and market equilibrium is attained at $P_{0}=29$ and $Q_{0}=9$, calculate the consumer surplus.</t>
  </si>
  <si>
    <t>486</t>
  </si>
  <si>
    <t>The Pareto optimality criterion implies fulfillment of all the following conditions except</t>
  </si>
  <si>
    <t>Income is distributed fairly among all individuals.</t>
  </si>
  <si>
    <t>The exports of goods of a country, $G=G(t)$ has a growth rate of $a/t$, and its exports of services, $S=S(t)$ has a growth rate of $b/t$. What is the growth rate of its total exports (X)?</t>
  </si>
  <si>
    <t>$(Ga+Sb)/(tX)$</t>
  </si>
  <si>
    <t>Which of the following statements is not correct?</t>
  </si>
  <si>
    <t>Any convex function is quasiconvex and its converse also holds.</t>
  </si>
  <si>
    <t>Assuming that the production function is homogeneous of degree one and Euler's equation holds, if $MP_{L}$ (marginal product of labour) is greater than $AP_{L}$ (average product of labour), then</t>
  </si>
  <si>
    <t>$MP_{K}$ will be negative</t>
  </si>
  <si>
    <t>Which of the following is incorrect about the problem of externalities?</t>
  </si>
  <si>
    <t>The process of internalization of the negative externality requires that both parties must gain.</t>
  </si>
  <si>
    <t>If the marginal cost of a firm is given as the function of output, $C'(Q)=2e^{0.2Q}$ and if the fixed cost is 75, find the total cost function.</t>
  </si>
  <si>
    <t>$10e^{0.2Q}+65$</t>
  </si>
  <si>
    <t xml:space="preserve">Silly mistake Fix cost Can be generated from a variable part of the total cost function </t>
  </si>
  <si>
    <t>Which of the following is excluded from headline inflation to arrive at core inflation?</t>
  </si>
  <si>
    <t>Energy prices</t>
  </si>
  <si>
    <t>Which of the following is not considered in the calculation of GDP?</t>
  </si>
  <si>
    <t>Sale/purchase of second-hand goods</t>
  </si>
  <si>
    <t>In the case of classical economics, an increase in the nominal money stock causes</t>
  </si>
  <si>
    <t>Shift in the aggregate demand curve to the right</t>
  </si>
  <si>
    <t>Which of the following does not constitute liabilities of commercial banks in India?</t>
  </si>
  <si>
    <t>Money at call and short notice</t>
  </si>
  <si>
    <t>11</t>
  </si>
  <si>
    <t xml:space="preserve">How is paid up capital and reserves A liability The bank does not owe that amount to anyone right While Three money at Kohl and Short notice Is like money being demanded by depositors So it is liability </t>
  </si>
  <si>
    <t>Which of the following is not correct about the effect of taxes on income and output?</t>
  </si>
  <si>
    <t>Inclusion of taxes makes the aggregate demand curve steeper and hence increases the multiplier.</t>
  </si>
  <si>
    <t>Which of the following is not correct about residential investment?</t>
  </si>
  <si>
    <t>The demand for housing is insensitive to the nominal interest rate.</t>
  </si>
  <si>
    <t>13</t>
  </si>
  <si>
    <t>The following are the reasons for firms to hold stock of inventories except</t>
  </si>
  <si>
    <t>It is more costly for a firm to order goods less frequently in large quantities than to order small quantities frequently.</t>
  </si>
  <si>
    <t>Commercial banks in India are subject to a statutory liquidity requirement (SLR). Which of the following is not part of the SLR?</t>
  </si>
  <si>
    <t>Required reserves.</t>
  </si>
  <si>
    <t xml:space="preserve">Isn't the central bank running a independent  Monetary policy In fixed exchange rate to maintain the fixed part </t>
  </si>
  <si>
    <t>Which of the following is not correct about the effectiveness of monetary and fiscal policies under perfect capital mobility?</t>
  </si>
  <si>
    <t>Under the fixed exchange rate, the central bank runs an independent monetary policy.</t>
  </si>
  <si>
    <t>Which of the following is not correct about the steady state equilibrium for the economy according to neoclassical growth theory?</t>
  </si>
  <si>
    <t>The growth rate of output is endogenously determined.</t>
  </si>
  <si>
    <t>17</t>
  </si>
  <si>
    <t xml:space="preserve">I thought the solo growth model was a classical approach not new classical . Shouldn't The Romer model and latest models come under the neoclassical approach And in those models I don't think Per capita parts Remain constant </t>
  </si>
  <si>
    <t>In Solow's growth model, the output per capita is a function of</t>
  </si>
  <si>
    <t>Capital labor ratio</t>
  </si>
  <si>
    <t>If we toss a balanced coin twice, what is the probability of getting at least one head?</t>
  </si>
  <si>
    <t>46115</t>
  </si>
  <si>
    <t>Suppose that the random variable X takes on the values: -1, 0, and 2 with probability 1/8, 1/2, and 3/8. Find the expected value of X.</t>
  </si>
  <si>
    <t>46239</t>
  </si>
  <si>
    <t>What is the geometric mean of 2, 4 and 8?</t>
  </si>
  <si>
    <t>In correlation analysis, the two variables</t>
  </si>
  <si>
    <t>Are treated symmetrically.</t>
  </si>
  <si>
    <t xml:space="preserve">In correlation analysis arent the two variables regressed </t>
  </si>
  <si>
    <t>In statistics, standard error measures the</t>
  </si>
  <si>
    <t>Precision of an estimate.</t>
  </si>
  <si>
    <t>23</t>
  </si>
  <si>
    <t xml:space="preserve">Please explain what The other options are measured by </t>
  </si>
  <si>
    <t>If A and B are symmetric matrices of the same order, which one of the following is not correct?</t>
  </si>
  <si>
    <t>$AB-BA$ is a symmetric matrix.</t>
  </si>
  <si>
    <t>Given two matrices $A = \begin{bmatrix} 2 &amp; 1 \\ 3 &amp; 2 \end{bmatrix}$ and $B = \begin{bmatrix} 5 \\ 9 \end{bmatrix}$. Find AB.</t>
  </si>
  <si>
    <t>$\begin{bmatrix} 19 \\ 33 \end{bmatrix}$</t>
  </si>
  <si>
    <t>Total foodgrain production (in million tonnes) in India for the year 2022-23 is</t>
  </si>
  <si>
    <t>329.69</t>
  </si>
  <si>
    <t>26</t>
  </si>
  <si>
    <t xml:space="preserve">For these questions Please give me the data Of Indian economy for this particular Data topic For the last five years </t>
  </si>
  <si>
    <t>In which of the following year India had a surplus in its current account?</t>
  </si>
  <si>
    <t>2020-21</t>
  </si>
  <si>
    <t>27</t>
  </si>
  <si>
    <t>The direct tax to GDP ratio in India for the year 2022-23 is</t>
  </si>
  <si>
    <t>6.11</t>
  </si>
  <si>
    <t>28</t>
  </si>
  <si>
    <t>With respect to the landholding pattern in India, "medium" farmers refer to those who have a landholding in the range of</t>
  </si>
  <si>
    <t>4 to 10 hectares</t>
  </si>
  <si>
    <t>29</t>
  </si>
  <si>
    <t xml:space="preserve">Please explain other classifications for this too </t>
  </si>
  <si>
    <t>Which of the following is not the correct assumption of Heckscher-Ohlin theory of international trade?</t>
  </si>
  <si>
    <t>Demand preferences are not identical in both countries.</t>
  </si>
  <si>
    <t>30</t>
  </si>
  <si>
    <t xml:space="preserve">Please explain the assumption that was correct The assumptions that are not correct With respect to this model </t>
  </si>
  <si>
    <t>Which of the following is not true about the Classical and Keynesian aggregate demand (AD) and aggregate supply (AS) schedules?</t>
  </si>
  <si>
    <t>Keynesian AD schedule depends only on the existing capital stock.</t>
  </si>
  <si>
    <t>Which of the following is not correct about the offer curves?</t>
  </si>
  <si>
    <t>Offer curve of a nation bends towards the axis measuring the commodity of its comparative disadvantage.</t>
  </si>
  <si>
    <t>32</t>
  </si>
  <si>
    <t xml:space="preserve">Please explain why the answer is option And Characteristics Of the offer curve </t>
  </si>
  <si>
    <t>One of the conditions for national income or output to be in equilibrium is that the desired investment ($I$) must equal the realised investment ($I_r$). If $I &gt; I_r$, the difference results in</t>
  </si>
  <si>
    <t>unintended inventory shortfall</t>
  </si>
  <si>
    <t>33</t>
  </si>
  <si>
    <t xml:space="preserve">Is this question related to haridomar model NDF Isn't the desired investment The investment that is done by the investors Our capitalists And they realised investments Generated from th Output </t>
  </si>
  <si>
    <t>Linear regression model is</t>
  </si>
  <si>
    <t>linear in parameters and may be linear in variables</t>
  </si>
  <si>
    <t>Which of the following does not hold at the equilibrium price and quantity in a perfectly competitive market?</t>
  </si>
  <si>
    <t>minimum willingness to pay equals minimum acceptable price</t>
  </si>
  <si>
    <t>35</t>
  </si>
  <si>
    <t xml:space="preserve">Please explain this part Why the answer is option c And using the welfare Theorem We require The consumer preferences to follow Certain properties like being monotonic Rational But that is not being given in the question here so How can you assume that all competitive equilibriums Are pareto optimal </t>
  </si>
  <si>
    <t>In the context of the Keynesian concept of a multiplier, a $1 increase in government spending financed by a $1 increase in taxes will cause equilibrium income</t>
  </si>
  <si>
    <t>increased by $1$</t>
  </si>
  <si>
    <t>36</t>
  </si>
  <si>
    <t xml:space="preserve">Shouldn't this depend on the marginal propensity to resume As the taxes Charge from Economy  Is decreasing the consumption function </t>
  </si>
  <si>
    <t>An individual's utility function for two goods milk (M) and butter (B) is given as $U(M,B)=5M+10B$ and the cost of each unit of the two goods is Rs 1 and the individuals weekly budget is Rs 5. Find the individual's utility maximizing choice.</t>
  </si>
  <si>
    <t>5 units of M and 0 unit of B</t>
  </si>
  <si>
    <t>The statement that "currency held in the hand yields no income" is given by</t>
  </si>
  <si>
    <t>A. C. Pigou</t>
  </si>
  <si>
    <t xml:space="preserve">Please tell about all the Names mentioned in the options </t>
  </si>
  <si>
    <t>The decision by consumers to buy larger quantities of a good at each possible price can not be caused by</t>
  </si>
  <si>
    <t>rising incomes if it is an inferior good.</t>
  </si>
  <si>
    <t>Let the total cost for a firm i in the short run be $C(X)$. Which of the following expressions represents the correct relationship between marginal cost (MC) and average cost (AC)?</t>
  </si>
  <si>
    <t>$MC = AC + X \times$ (slope of AC)</t>
  </si>
  <si>
    <t>If the probability function for a random variable x is $f(x)=(x+3)/15$ for $x=1,2$ and 3. Find the sum of values of the probability distribution for x.</t>
  </si>
  <si>
    <t>Calculate the standard deviation for the following sample: 8, 7, and 9.</t>
  </si>
  <si>
    <t>$\sqrt{1}$</t>
  </si>
  <si>
    <t>Which of the following is not a type of non-random sampling?</t>
  </si>
  <si>
    <t>Cluster sampling</t>
  </si>
  <si>
    <t>43</t>
  </si>
  <si>
    <t xml:space="preserve">Please explain the answer and all the other types of options in the mentioned </t>
  </si>
  <si>
    <t>According to monetarist thought, the natural rate of unemployment and output is not determined by</t>
  </si>
  <si>
    <t>Aggregate demand</t>
  </si>
  <si>
    <t>44</t>
  </si>
  <si>
    <t xml:space="preserve">What does the monetarist mean here is it the classical version of quantity theory of money  </t>
  </si>
  <si>
    <t>Expenditure towards the maintenance of embassies and diplomatic missions are included in which of the following account of the balance of payments.</t>
  </si>
  <si>
    <t>Current Account</t>
  </si>
  <si>
    <t>Arrange the following Chairman of the Finance Commission as per their year of appointment in chronological order starting from the oldest to latest: (A) A M Khusro, (B) N K Singh, (C) Vijay Kelkar, (D) NKP Salve</t>
  </si>
  <si>
    <t>46</t>
  </si>
  <si>
    <t xml:space="preserve">For these questions Please give me the data Of Indian economy for this particular Data topic For the last 5 committees </t>
  </si>
  <si>
    <t>Arrange the following authors and their publications in chronological order starting from the oldest to latest: (A) P A Samuelson, "International Trade and Equalization of Factor Prices", (B) S B Linder, "An Essay on Trade and Transformation", (C) Eli Heckscher, "The effect of Foreign Trade on the Distribution of Income", (D) B Balassa, "Trade Creation and Trade Diversion in European Common Market"</t>
  </si>
  <si>
    <t>47</t>
  </si>
  <si>
    <t xml:space="preserve">Please tell about all the Names mentioned in the options Along with the information about the books </t>
  </si>
  <si>
    <t>Arrange the following financial institutions as per their year of establishment in chronological order, starting from the oldest to latest: (A) NABARD, (B) IFCI, (C) IRBI, (D) IDBI</t>
  </si>
  <si>
    <t>48</t>
  </si>
  <si>
    <t xml:space="preserve">Please explain the answer The function of each of these organisations </t>
  </si>
  <si>
    <t>As per Union Budget 2024-25, arrange the following sources of revenue in ascending order in terms of their contribution to the overall revenue of the central government for 2023-24: (A) GST, (B) Income Tax, (C) Union Excise Duties, (D) Corporate Tax</t>
  </si>
  <si>
    <t>Arrange the following theories in chronological order starting from oldest to latest: (A) Keynesian Theory of Demand for Money, (B) Quantity Theory of Money, (C) Cambridge Cash Balance Approach, (D) Modern Quantity Theory of Money</t>
  </si>
  <si>
    <t>(B), (C), (A), (D)</t>
  </si>
  <si>
    <t>50</t>
  </si>
  <si>
    <t>Arrange the following sectors in descending order as per the union government capital expenditure amount for FY2023-24: (A) Defence Services, (B) Railways, (C) Road Transport and Highways, (D) Telecommunications</t>
  </si>
  <si>
    <t>(C), (B), (A), (D)</t>
  </si>
  <si>
    <t>51</t>
  </si>
  <si>
    <t>Arrange the following steps in the proper sequence concerning the solution of a linear programming problem: (A) Graph each constraint, (B) Find the feasible region, (C) Superimpose contours of objective function, (D) Construct a graph placing decision variable on each axis</t>
  </si>
  <si>
    <t>(D), (A), (B), (C)</t>
  </si>
  <si>
    <t>Arrange the following theories in chronological order, starting from oldest to the latest: (A) The Rybczynski Theorem, (B) Product Cycle Model, (C) Technological Gap Model, (D) Specific Factor Model</t>
  </si>
  <si>
    <t>53</t>
  </si>
  <si>
    <t xml:space="preserve">Please explain all the options mentioned here </t>
  </si>
  <si>
    <t>Arrange the following scholarly contributions in their chronological order starting from the oldest to latest: (A) Kaldor-Hicks Compensation Criterion, (B) Bergson Social Welfare Function Criterion, (C) Rawl's Principle of Social Justice, (D) Pareto Optimality Criterion</t>
  </si>
  <si>
    <t>54</t>
  </si>
  <si>
    <t xml:space="preserve">Please all the options mentioned here </t>
  </si>
  <si>
    <t>Arrange the following components of monetary aggregates in descending order as per their liquidity: (A) currency notes, (B) demand deposits, (C) time deposits, (D) money market mutual fund</t>
  </si>
  <si>
    <t>(A), (B), (D), (C)</t>
  </si>
  <si>
    <t>55</t>
  </si>
  <si>
    <t xml:space="preserve">Please explain the answer how is money market mutual fund more liquid than time deposits </t>
  </si>
  <si>
    <t>Which of the following statements are correct about the IS curve? (A) It shows the combination of the interest rate and the level of income such that the money market is in equilibrium. (B) It is negatively sloped. (C) The smaller the multiplier and the more sensitive investment spending is to changes in the interest rate, the steeper the IS curve. (D) An increase in government purchases shifts the IS curve to the right.</t>
  </si>
  <si>
    <t>(B) and (D) only</t>
  </si>
  <si>
    <t>Which of the following statements are correct about the money multiplier? (A) It is the ratio of the stock of money to the stock of high powered money. (B) It is always smaller than one. (C) Its value depends on the reserve ratio and currency-deposit ratio. (D) It is inversely related to the reserve ratio.</t>
  </si>
  <si>
    <t>(A), (C) and (D) only</t>
  </si>
  <si>
    <t>Life cycle theory of consumption postulates that: (A) Consumption is constant throughout lifetime. (B) Marginal propensity to consume out of permanent income is small. (C) Marginal propensity to consume out of transitory income is large. (D) It emphasizes how to maintain a stable standard of living over the course of life.</t>
  </si>
  <si>
    <t>(A) and (D) only</t>
  </si>
  <si>
    <t>The Kinked demand curve model can explain: (A) the level at which price will be set by firms to maximize profits. (B) the level of price at which the kink will occur as well as the height of the kink. (C) the price rigidity in the face of changing costs and of high rivalry. (D) the implications for the volume of output owing to changing market demand.</t>
  </si>
  <si>
    <t>(C) and (D) only</t>
  </si>
  <si>
    <t>59</t>
  </si>
  <si>
    <t>Please explain the question King demand model And then the answers with respect to that Why can't we do option A and B</t>
  </si>
  <si>
    <t>Which of the following are applicable to the individual's expenditure function? (A) it is homogeneous of degree zero in all prices. (B) it represents the maximum expenditure to achieve a given level of utility. (C) it is non-decreasing in prices. (D) it is concave in prices</t>
  </si>
  <si>
    <t>Which of the following are correct in the context of monopolistic competition? (A) monopolistic competitive firms may earn economic profits or incur losses in the short-run. (B) the long-run equilibrium position of a monopolistically competitive producer is far more efficient than that of pure competition. (C) the firms may strive to increase the demand for its product through product development and advertising. (D) consumers benefit from the wide variety of product choices that monopolistic competition provides.</t>
  </si>
  <si>
    <t>Coefficient of determination measures: (A) correlation between the dependent and independent variables. (B) the residual sum of squares as a proportion of the total sum of squares (C) the explained sum of squares as a proportion of the total sum of squares (D) how well the sample regression fits the data.</t>
  </si>
  <si>
    <t xml:space="preserve">Coefficient of determination meaning R Square Let us measure Correlation between the two variables Then how come option a is wrong </t>
  </si>
  <si>
    <t>Which of the following statements are correct about the contrast between pure public and pure private goods? (A) The total provision of pure private goods is the sum of private consumption, whereas the total provision of pure public goods is equal between individuals. (B) The consumer in general pays the same prices and consumes different quantities of the good when there is efficient provision of pure private goods. (C) The consumer pays different prices and consumes the same quantity of the good when there is efficient provision of pure public goods. (D) Atomistic markets ensure efficient provisioning for both pure private as well as pure public goods.</t>
  </si>
  <si>
    <t>(A), (B) and (C) only</t>
  </si>
  <si>
    <t>63</t>
  </si>
  <si>
    <t xml:space="preserve">Please explain her option C is correct And explain about Option D also </t>
  </si>
  <si>
    <t>According to the law of comparative advantage, trade will not be beneficial for both countries if: (A) one nation is less efficient than the other nation in the production of both commodities. (B) one nation has an absolute advantage with respect to the other nation in the production of both commodities. (C) the opportunity cost of producing both the commodities is the same in both countries. (D) the absolute disadvantage that one nation has with respect to other nation is the same in both commodities.</t>
  </si>
  <si>
    <t>In the Keynesian framework, determination of an equilibrium interest rate also implies: (A) the rate that equates the supply of and the demand for bonds. (B) the rate that equates the supply of money with the demand for money. (C) the rate that equates the supply of money and demand for investment. (D) the rate that equates supply of labour and demand for labour.</t>
  </si>
  <si>
    <t>(A) and (B) only</t>
  </si>
  <si>
    <t xml:space="preserve">Why is option C wrong in Canadian framework  Is not the rate of interest determining The demand for investment </t>
  </si>
  <si>
    <t>Match List-I (Book) with List-II (Author): (A) The Economics of Imperfect Competition (B) Theory of Monopolistic Competition (C) Risk, Uncertainty and Profit (D) The Theory of the Market Economy. List-II: (I) F.H. Knight, (II) H. von Stackelberg, (III) Edward H. Chamberlin, (IV) Joan Robinson.</t>
  </si>
  <si>
    <t>(A)-(IV), (B)-(III), (C)-(I), (D)-(II)</t>
  </si>
  <si>
    <t xml:space="preserve">Please explain the question on all the people mentioned here </t>
  </si>
  <si>
    <t>Match List-I (Interval Type) with List-II (Representation): (A) Closed Interval (B) Open Interval (C) Unbounded Interval (D) Half Open Interval. List-II: (I) $[a,b) = \{x \in R : a \le x &lt; b\}$ (II) $[a,b] = \{x \in R : a \le x \le b\}$ (III) $[a,\infty) = \{x \in R : a \le x\}$ (IV) $(a,b) = \{x \in R : a &lt; x &lt; b\}$.</t>
  </si>
  <si>
    <t>(A)-(II), (B)-(IV), (C)-(III), (D)-(I)</t>
  </si>
  <si>
    <t>Match List-I (Concepts) with List-II (Formula): (A) Weighted Mean (B) Grand Mean of Combined Data (C) Harmonic Mean (D) Geometric Mean. List-II includes formulas for $\Sigma WX/\Sigma W$, $\sqrt[n]{\Pi x}$, $n/\Sigma(1/x)$, $\Sigma n \bar{x} / \Sigma n$.</t>
  </si>
  <si>
    <t>(A)-(III), (B)-(IV), (C)-(II), (D)-(I)</t>
  </si>
  <si>
    <t>Match List-I (Skewness) with List-II (AM, Median, Mode Relation): (A) Positively Skewed (B) Moderately Skewed (C) Negatively Skewed (D) Symmetric Distribution. List-II: (I) AM=Median=Mode, (II) AM &lt; Median &lt; Mode, (III) Mode = 3 Median - 2 Mean, (IV) AM &gt; Median &gt; Mode.</t>
  </si>
  <si>
    <t>Match List-I (Production Functions) with List-II (Functional Forms): (A) Translog (B) Generalised Leontief (C) Cobb Douglas (D) Constant Elasticity of Substitution. List-II: (I) $q=\prod x^{\alpha}$ (II) $q=[\sum \alpha x^{\rho}]^{1/\rho}$ (III) $q=\sum \sum \alpha \sqrt{x_i x_j}$ (IV) $q=a_0 + \sum \alpha \ln x + 0.5 \sum \sum \alpha \ln x \ln x$.</t>
  </si>
  <si>
    <t>Match List-I with List-II: (A) Foreign Exchange Swaps (B) Forward Transaction (C) Foreign Exchange Futures (D) Hedging. List-II: (I) Forward contract for standardized currency on organized market (II) Avoidance of forex risk (III) Spot sale combined with forward repurchase (IV) Agreement today to buy/sell at specified future date.</t>
  </si>
  <si>
    <t>Match List-I (Time Series Patterns) with List-II (Meaning): (A) Seasonal Variation (B) Random Fluctuation (C) Business Cycles (D) Trends. List-II: (I) Periodic movement (II) Steady movement over time (III) Movement depending on time of year (IV) Unpredictable factors.</t>
  </si>
  <si>
    <t>Match List-I (Measures of Money Supply) with List-II (Components): (A) M3 (B) M2 (C) M1 (D) M4. List-II: (I) C+DD+OD (II) C+DD+OD + Net time deposits (III) C+DD+OD + Saving deposits with post office (IV) C+DD+OD + Net time deposits + Total deposits with post office.</t>
  </si>
  <si>
    <t>(A)-(II), (B)-(III), (C)-(I), (D)-(IV)</t>
  </si>
  <si>
    <t>Match List-I (Types of Deficit) with List-II (Level as % of GDP for FY2021): (A) Revenue Deficit (B) Fiscal Deficit (C) Primary Deficit (D) Current Account Deficit. List-II: (I) 1.2 (II) 5.7 (III) 9.2 (IV) 7.3.</t>
  </si>
  <si>
    <t>74</t>
  </si>
  <si>
    <t xml:space="preserve">Fiscal deficit Subtract Debt receipts From budget deficit Primary deficit subtract Interest payments from fiscal deficit. So shouldn't primary deficit be less than fiscal deficit always    And what about the rest of the deficits mentioned Is there a particular Numerical order That they should always satisfy </t>
  </si>
  <si>
    <t>Match List-I (Name of State) with List-II (Dependency Ratio for 2023-24): (A) Andhra Pradesh (B) Bihar (C) Kerala (D) Uttar Pradesh. List-II: (I) 66.3 (II) 52.2 (III) 41.4 (IV) 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</si>
</sst>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4F81BD"/>
      <name val="Calibri"/>
      <family val="2"/>
    </font>
    <font>
      <sz val="11"/>
      <color rgb="FF000000"/>
      <name val="Calibri"/>
      <family val="2"/>
    </font>
    <font>
      <b/>
      <sz val="11"/>
      <color rgb="FF000000"/>
      <name val="Calibri"/>
      <family val="2"/>
    </font>
    <font>
      <b/>
      <sz val="11"/>
      <name val="Calibri"/>
      <family val="2"/>
    </font>
  </fonts>
  <fills count="3">
    <fill>
      <patternFill patternType="none"/>
    </fill>
    <fill>
      <patternFill patternType="gray125"/>
    </fill>
    <fill>
      <patternFill patternType="solid">
        <fgColor rgb="FFE6E6E6"/>
        <bgColor rgb="FFE6E6E6"/>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heetViews>
  <sheetFormatPr defaultRowHeight="14.4" x14ac:dyDescent="0.3"/>
  <cols>
    <col min="1" max="1" width="120" customWidth="1"/>
  </cols>
  <sheetData>
    <row r="1" spans="1:1" ht="15.6" x14ac:dyDescent="0.3">
      <c r="A1" s="1" t="s">
        <v>0</v>
      </c>
    </row>
    <row r="2" spans="1:1" x14ac:dyDescent="0.3">
      <c r="A2" s="2"/>
    </row>
    <row r="3" spans="1:1" x14ac:dyDescent="0.3">
      <c r="A3" s="3" t="s">
        <v>1</v>
      </c>
    </row>
    <row r="4" spans="1:1" x14ac:dyDescent="0.3">
      <c r="A4" s="2" t="s">
        <v>2</v>
      </c>
    </row>
    <row r="5" spans="1:1" x14ac:dyDescent="0.3">
      <c r="A5" s="2" t="s">
        <v>3</v>
      </c>
    </row>
    <row r="6" spans="1:1" x14ac:dyDescent="0.3">
      <c r="A6" s="2" t="s">
        <v>4</v>
      </c>
    </row>
    <row r="7" spans="1:1" x14ac:dyDescent="0.3">
      <c r="A7" s="2" t="s">
        <v>5</v>
      </c>
    </row>
    <row r="8" spans="1:1" x14ac:dyDescent="0.3">
      <c r="A8" s="2" t="s">
        <v>6</v>
      </c>
    </row>
    <row r="9" spans="1:1" x14ac:dyDescent="0.3">
      <c r="A9" s="3"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topLeftCell="C53" zoomScale="61" workbookViewId="0">
      <selection activeCell="D83" sqref="D83"/>
    </sheetView>
  </sheetViews>
  <sheetFormatPr defaultRowHeight="14.4" x14ac:dyDescent="0.3"/>
  <cols>
    <col min="1" max="1" width="12" customWidth="1"/>
    <col min="2" max="3" width="60" customWidth="1"/>
    <col min="4" max="4" width="19" customWidth="1"/>
    <col min="5" max="5" width="21" customWidth="1"/>
    <col min="6" max="6" width="17" customWidth="1"/>
    <col min="7" max="10" width="12" customWidth="1"/>
    <col min="11" max="11" width="16" customWidth="1"/>
    <col min="12" max="12" width="18.77734375" bestFit="1" customWidth="1"/>
    <col min="13" max="13" width="24.77734375" customWidth="1"/>
    <col min="14" max="14" width="15" customWidth="1"/>
    <col min="15" max="15" width="60" customWidth="1"/>
  </cols>
  <sheetData>
    <row r="1" spans="1:15" x14ac:dyDescent="0.3">
      <c r="A1" s="4" t="s">
        <v>8</v>
      </c>
      <c r="B1" s="4" t="s">
        <v>9</v>
      </c>
      <c r="C1" s="4" t="s">
        <v>10</v>
      </c>
      <c r="D1" s="4" t="s">
        <v>11</v>
      </c>
      <c r="E1" s="4" t="s">
        <v>12</v>
      </c>
      <c r="F1" s="4" t="s">
        <v>13</v>
      </c>
      <c r="G1" s="4" t="s">
        <v>14</v>
      </c>
      <c r="H1" s="4" t="s">
        <v>15</v>
      </c>
      <c r="I1" s="4" t="s">
        <v>16</v>
      </c>
      <c r="J1" s="4" t="s">
        <v>17</v>
      </c>
      <c r="K1" s="4" t="s">
        <v>18</v>
      </c>
      <c r="L1" s="4" t="s">
        <v>19</v>
      </c>
      <c r="M1" s="4" t="s">
        <v>20</v>
      </c>
      <c r="N1" s="4" t="s">
        <v>21</v>
      </c>
      <c r="O1" s="4" t="s">
        <v>22</v>
      </c>
    </row>
    <row r="2" spans="1:15" x14ac:dyDescent="0.3">
      <c r="A2">
        <v>26</v>
      </c>
      <c r="B2">
        <v>9209064075</v>
      </c>
      <c r="C2" t="s">
        <v>23</v>
      </c>
      <c r="D2" t="s">
        <v>24</v>
      </c>
      <c r="E2" t="s">
        <v>25</v>
      </c>
      <c r="F2" t="s">
        <v>26</v>
      </c>
      <c r="G2" t="s">
        <v>26</v>
      </c>
      <c r="H2">
        <f t="shared" ref="H2:H33" si="0">IF(J2="Correct", 4, IF(J2="Incorrect", -1, 0))</f>
        <v>4</v>
      </c>
      <c r="I2">
        <v>4.9000000000000004</v>
      </c>
      <c r="J2" t="str">
        <f t="shared" ref="J2:J33" si="1">IF(OR(ISBLANK(G2), G2="Not Attempted", G2=""), "Unattempted", IF(G2=F2, "Correct", "Incorrect"))</f>
        <v>Correct</v>
      </c>
      <c r="K2">
        <f t="shared" ref="K2:K33" si="2">IF(J2="Incorrect", 1, 0)</f>
        <v>0</v>
      </c>
      <c r="L2">
        <v>26</v>
      </c>
    </row>
    <row r="3" spans="1:15" x14ac:dyDescent="0.3">
      <c r="A3">
        <v>27</v>
      </c>
      <c r="B3">
        <v>9209064076</v>
      </c>
      <c r="C3" t="s">
        <v>27</v>
      </c>
      <c r="D3" t="s">
        <v>28</v>
      </c>
      <c r="E3" t="s">
        <v>28</v>
      </c>
      <c r="F3" t="s">
        <v>28</v>
      </c>
      <c r="G3" t="s">
        <v>29</v>
      </c>
      <c r="H3">
        <f t="shared" si="0"/>
        <v>-1</v>
      </c>
      <c r="I3">
        <v>23.6</v>
      </c>
      <c r="J3" t="str">
        <f t="shared" si="1"/>
        <v>Incorrect</v>
      </c>
      <c r="K3">
        <f t="shared" si="2"/>
        <v>1</v>
      </c>
      <c r="L3">
        <v>27</v>
      </c>
    </row>
    <row r="4" spans="1:15" x14ac:dyDescent="0.3">
      <c r="A4">
        <v>28</v>
      </c>
      <c r="B4">
        <v>9209064077</v>
      </c>
      <c r="C4" t="s">
        <v>30</v>
      </c>
      <c r="D4" t="s">
        <v>31</v>
      </c>
      <c r="E4" t="s">
        <v>32</v>
      </c>
      <c r="F4" t="s">
        <v>29</v>
      </c>
      <c r="G4" t="s">
        <v>29</v>
      </c>
      <c r="H4">
        <f t="shared" si="0"/>
        <v>4</v>
      </c>
      <c r="I4">
        <v>70.400000000000006</v>
      </c>
      <c r="J4" t="str">
        <f t="shared" si="1"/>
        <v>Correct</v>
      </c>
      <c r="K4">
        <f t="shared" si="2"/>
        <v>0</v>
      </c>
      <c r="L4">
        <v>28</v>
      </c>
    </row>
    <row r="5" spans="1:15" x14ac:dyDescent="0.3">
      <c r="A5">
        <v>29</v>
      </c>
      <c r="B5">
        <v>9209064078</v>
      </c>
      <c r="C5" t="s">
        <v>33</v>
      </c>
      <c r="D5" t="s">
        <v>34</v>
      </c>
      <c r="E5" t="s">
        <v>35</v>
      </c>
      <c r="F5" t="s">
        <v>36</v>
      </c>
      <c r="G5" t="s">
        <v>36</v>
      </c>
      <c r="H5">
        <f t="shared" si="0"/>
        <v>4</v>
      </c>
      <c r="I5">
        <v>11.7</v>
      </c>
      <c r="J5" t="str">
        <f t="shared" si="1"/>
        <v>Correct</v>
      </c>
      <c r="K5">
        <f t="shared" si="2"/>
        <v>0</v>
      </c>
      <c r="L5">
        <v>29</v>
      </c>
    </row>
    <row r="6" spans="1:15" x14ac:dyDescent="0.3">
      <c r="A6">
        <v>30</v>
      </c>
      <c r="B6">
        <v>9209064079</v>
      </c>
      <c r="C6" t="s">
        <v>37</v>
      </c>
      <c r="D6" t="s">
        <v>38</v>
      </c>
      <c r="E6" t="s">
        <v>39</v>
      </c>
      <c r="F6" t="s">
        <v>36</v>
      </c>
      <c r="G6" t="s">
        <v>36</v>
      </c>
      <c r="H6">
        <f t="shared" si="0"/>
        <v>4</v>
      </c>
      <c r="I6">
        <v>20.9</v>
      </c>
      <c r="J6" t="str">
        <f t="shared" si="1"/>
        <v>Correct</v>
      </c>
      <c r="K6">
        <f t="shared" si="2"/>
        <v>0</v>
      </c>
      <c r="L6">
        <v>30</v>
      </c>
      <c r="N6">
        <v>30</v>
      </c>
      <c r="O6" t="s">
        <v>40</v>
      </c>
    </row>
    <row r="7" spans="1:15" x14ac:dyDescent="0.3">
      <c r="A7">
        <v>31</v>
      </c>
      <c r="B7">
        <v>9209064080</v>
      </c>
      <c r="C7" t="s">
        <v>41</v>
      </c>
      <c r="D7" t="s">
        <v>42</v>
      </c>
      <c r="E7" t="s">
        <v>43</v>
      </c>
      <c r="F7" t="s">
        <v>29</v>
      </c>
      <c r="G7" t="s">
        <v>29</v>
      </c>
      <c r="H7">
        <f t="shared" si="0"/>
        <v>4</v>
      </c>
      <c r="I7">
        <v>50</v>
      </c>
      <c r="J7" t="str">
        <f t="shared" si="1"/>
        <v>Correct</v>
      </c>
      <c r="K7">
        <f t="shared" si="2"/>
        <v>0</v>
      </c>
      <c r="L7">
        <v>31</v>
      </c>
      <c r="N7">
        <v>31</v>
      </c>
      <c r="O7" t="s">
        <v>44</v>
      </c>
    </row>
    <row r="8" spans="1:15" x14ac:dyDescent="0.3">
      <c r="A8">
        <v>32</v>
      </c>
      <c r="B8">
        <v>9209064081</v>
      </c>
      <c r="C8" t="s">
        <v>45</v>
      </c>
      <c r="D8" t="s">
        <v>46</v>
      </c>
      <c r="E8" t="s">
        <v>47</v>
      </c>
      <c r="F8" t="s">
        <v>48</v>
      </c>
      <c r="G8" t="s">
        <v>48</v>
      </c>
      <c r="H8">
        <f t="shared" si="0"/>
        <v>4</v>
      </c>
      <c r="I8">
        <v>182.6</v>
      </c>
      <c r="J8" t="str">
        <f t="shared" si="1"/>
        <v>Correct</v>
      </c>
      <c r="K8">
        <f t="shared" si="2"/>
        <v>0</v>
      </c>
      <c r="L8">
        <v>32</v>
      </c>
      <c r="N8">
        <v>32</v>
      </c>
      <c r="O8" t="s">
        <v>49</v>
      </c>
    </row>
    <row r="9" spans="1:15" x14ac:dyDescent="0.3">
      <c r="A9">
        <v>33</v>
      </c>
      <c r="B9">
        <v>9209064082</v>
      </c>
      <c r="C9" t="s">
        <v>50</v>
      </c>
      <c r="D9" t="s">
        <v>51</v>
      </c>
      <c r="E9" t="s">
        <v>52</v>
      </c>
      <c r="F9" t="s">
        <v>29</v>
      </c>
      <c r="G9" t="s">
        <v>29</v>
      </c>
      <c r="H9">
        <f t="shared" si="0"/>
        <v>4</v>
      </c>
      <c r="I9">
        <v>56.5</v>
      </c>
      <c r="J9" t="str">
        <f t="shared" si="1"/>
        <v>Correct</v>
      </c>
      <c r="K9">
        <f t="shared" si="2"/>
        <v>0</v>
      </c>
      <c r="L9">
        <v>33</v>
      </c>
    </row>
    <row r="10" spans="1:15" x14ac:dyDescent="0.3">
      <c r="A10">
        <v>34</v>
      </c>
      <c r="B10">
        <v>9209064083</v>
      </c>
      <c r="C10" t="s">
        <v>53</v>
      </c>
      <c r="D10" t="s">
        <v>54</v>
      </c>
      <c r="E10" t="s">
        <v>55</v>
      </c>
      <c r="F10" t="s">
        <v>48</v>
      </c>
      <c r="G10" t="s">
        <v>48</v>
      </c>
      <c r="H10">
        <f t="shared" si="0"/>
        <v>4</v>
      </c>
      <c r="I10">
        <v>31.6</v>
      </c>
      <c r="J10" t="str">
        <f t="shared" si="1"/>
        <v>Correct</v>
      </c>
      <c r="K10">
        <f t="shared" si="2"/>
        <v>0</v>
      </c>
      <c r="L10">
        <v>34</v>
      </c>
    </row>
    <row r="11" spans="1:15" x14ac:dyDescent="0.3">
      <c r="A11">
        <v>35</v>
      </c>
      <c r="B11">
        <v>9209064084</v>
      </c>
      <c r="C11" t="s">
        <v>56</v>
      </c>
      <c r="D11" t="s">
        <v>57</v>
      </c>
      <c r="E11" t="s">
        <v>58</v>
      </c>
      <c r="F11" t="s">
        <v>29</v>
      </c>
      <c r="G11" t="s">
        <v>29</v>
      </c>
      <c r="H11">
        <f t="shared" si="0"/>
        <v>4</v>
      </c>
      <c r="I11">
        <v>142.19999999999999</v>
      </c>
      <c r="J11" t="str">
        <f t="shared" si="1"/>
        <v>Correct</v>
      </c>
      <c r="K11">
        <f t="shared" si="2"/>
        <v>0</v>
      </c>
      <c r="L11">
        <v>35</v>
      </c>
      <c r="N11">
        <v>35</v>
      </c>
      <c r="O11" t="s">
        <v>59</v>
      </c>
    </row>
    <row r="12" spans="1:15" x14ac:dyDescent="0.3">
      <c r="A12">
        <v>36</v>
      </c>
      <c r="B12">
        <v>9209064085</v>
      </c>
      <c r="C12" t="s">
        <v>60</v>
      </c>
      <c r="D12" t="s">
        <v>61</v>
      </c>
      <c r="E12" t="s">
        <v>62</v>
      </c>
      <c r="F12" t="s">
        <v>48</v>
      </c>
      <c r="G12" t="s">
        <v>48</v>
      </c>
      <c r="H12">
        <f t="shared" si="0"/>
        <v>4</v>
      </c>
      <c r="I12">
        <v>33.9</v>
      </c>
      <c r="J12" t="str">
        <f t="shared" si="1"/>
        <v>Correct</v>
      </c>
      <c r="K12">
        <f t="shared" si="2"/>
        <v>0</v>
      </c>
      <c r="L12">
        <v>36</v>
      </c>
      <c r="N12">
        <v>36</v>
      </c>
      <c r="O12" t="s">
        <v>63</v>
      </c>
    </row>
    <row r="13" spans="1:15" x14ac:dyDescent="0.3">
      <c r="A13">
        <v>37</v>
      </c>
      <c r="B13">
        <v>9209064086</v>
      </c>
      <c r="C13" t="s">
        <v>64</v>
      </c>
      <c r="D13" t="s">
        <v>65</v>
      </c>
      <c r="E13" t="s">
        <v>66</v>
      </c>
      <c r="F13" t="s">
        <v>36</v>
      </c>
      <c r="G13" t="s">
        <v>36</v>
      </c>
      <c r="H13">
        <f t="shared" si="0"/>
        <v>4</v>
      </c>
      <c r="I13">
        <v>131.4</v>
      </c>
      <c r="J13" t="str">
        <f t="shared" si="1"/>
        <v>Correct</v>
      </c>
      <c r="K13">
        <f t="shared" si="2"/>
        <v>0</v>
      </c>
      <c r="L13">
        <v>37</v>
      </c>
    </row>
    <row r="14" spans="1:15" x14ac:dyDescent="0.3">
      <c r="A14">
        <v>38</v>
      </c>
      <c r="B14">
        <v>9209064087</v>
      </c>
      <c r="C14" t="s">
        <v>67</v>
      </c>
      <c r="D14" t="s">
        <v>68</v>
      </c>
      <c r="E14" t="s">
        <v>69</v>
      </c>
      <c r="F14" t="s">
        <v>36</v>
      </c>
      <c r="G14" t="s">
        <v>48</v>
      </c>
      <c r="H14">
        <f t="shared" si="0"/>
        <v>-1</v>
      </c>
      <c r="I14">
        <v>69.400000000000006</v>
      </c>
      <c r="J14" t="str">
        <f t="shared" si="1"/>
        <v>Incorrect</v>
      </c>
      <c r="K14">
        <f t="shared" si="2"/>
        <v>1</v>
      </c>
      <c r="L14">
        <v>38</v>
      </c>
      <c r="M14">
        <v>38</v>
      </c>
      <c r="O14" t="s">
        <v>70</v>
      </c>
    </row>
    <row r="15" spans="1:15" x14ac:dyDescent="0.3">
      <c r="A15">
        <v>39</v>
      </c>
      <c r="B15">
        <v>9209064088</v>
      </c>
      <c r="C15" t="s">
        <v>71</v>
      </c>
      <c r="D15" t="s">
        <v>72</v>
      </c>
      <c r="E15" t="s">
        <v>73</v>
      </c>
      <c r="F15" t="s">
        <v>48</v>
      </c>
      <c r="G15" t="s">
        <v>48</v>
      </c>
      <c r="H15">
        <f t="shared" si="0"/>
        <v>4</v>
      </c>
      <c r="I15">
        <v>309.39999999999998</v>
      </c>
      <c r="J15" t="str">
        <f t="shared" si="1"/>
        <v>Correct</v>
      </c>
      <c r="K15">
        <f t="shared" si="2"/>
        <v>0</v>
      </c>
      <c r="L15">
        <v>39</v>
      </c>
      <c r="N15">
        <v>39</v>
      </c>
      <c r="O15" t="s">
        <v>74</v>
      </c>
    </row>
    <row r="16" spans="1:15" x14ac:dyDescent="0.3">
      <c r="A16">
        <v>40</v>
      </c>
      <c r="B16">
        <v>9209064089</v>
      </c>
      <c r="C16" t="s">
        <v>75</v>
      </c>
      <c r="D16" t="s">
        <v>76</v>
      </c>
      <c r="E16" t="s">
        <v>77</v>
      </c>
      <c r="F16" t="s">
        <v>48</v>
      </c>
      <c r="G16" t="s">
        <v>48</v>
      </c>
      <c r="H16">
        <f t="shared" si="0"/>
        <v>4</v>
      </c>
      <c r="I16">
        <v>119.6</v>
      </c>
      <c r="J16" t="str">
        <f t="shared" si="1"/>
        <v>Correct</v>
      </c>
      <c r="K16">
        <f t="shared" si="2"/>
        <v>0</v>
      </c>
      <c r="L16">
        <v>40</v>
      </c>
    </row>
    <row r="17" spans="1:15" x14ac:dyDescent="0.3">
      <c r="A17">
        <v>41</v>
      </c>
      <c r="B17">
        <v>9209064090</v>
      </c>
      <c r="C17" t="s">
        <v>78</v>
      </c>
      <c r="D17" t="s">
        <v>79</v>
      </c>
      <c r="E17" t="s">
        <v>80</v>
      </c>
      <c r="F17" t="s">
        <v>48</v>
      </c>
      <c r="G17" t="s">
        <v>48</v>
      </c>
      <c r="H17">
        <f t="shared" si="0"/>
        <v>4</v>
      </c>
      <c r="I17">
        <v>37.799999999999997</v>
      </c>
      <c r="J17" t="str">
        <f t="shared" si="1"/>
        <v>Correct</v>
      </c>
      <c r="K17">
        <f t="shared" si="2"/>
        <v>0</v>
      </c>
      <c r="L17">
        <v>41</v>
      </c>
      <c r="N17">
        <v>41</v>
      </c>
      <c r="O17" t="s">
        <v>81</v>
      </c>
    </row>
    <row r="18" spans="1:15" x14ac:dyDescent="0.3">
      <c r="A18">
        <v>42</v>
      </c>
      <c r="B18">
        <v>9209064091</v>
      </c>
      <c r="C18" t="s">
        <v>82</v>
      </c>
      <c r="D18" t="s">
        <v>83</v>
      </c>
      <c r="E18" t="s">
        <v>84</v>
      </c>
      <c r="F18" t="s">
        <v>36</v>
      </c>
      <c r="G18" t="s">
        <v>36</v>
      </c>
      <c r="H18">
        <f t="shared" si="0"/>
        <v>4</v>
      </c>
      <c r="I18">
        <v>78.8</v>
      </c>
      <c r="J18" t="str">
        <f t="shared" si="1"/>
        <v>Correct</v>
      </c>
      <c r="K18">
        <f t="shared" si="2"/>
        <v>0</v>
      </c>
      <c r="L18">
        <v>42</v>
      </c>
    </row>
    <row r="19" spans="1:15" x14ac:dyDescent="0.3">
      <c r="A19">
        <v>43</v>
      </c>
      <c r="B19">
        <v>9209064092</v>
      </c>
      <c r="C19" t="s">
        <v>85</v>
      </c>
      <c r="D19" t="s">
        <v>86</v>
      </c>
      <c r="E19" t="s">
        <v>87</v>
      </c>
      <c r="F19" t="s">
        <v>48</v>
      </c>
      <c r="G19" t="s">
        <v>48</v>
      </c>
      <c r="H19">
        <f t="shared" si="0"/>
        <v>4</v>
      </c>
      <c r="I19">
        <v>132.30000000000001</v>
      </c>
      <c r="J19" t="str">
        <f t="shared" si="1"/>
        <v>Correct</v>
      </c>
      <c r="K19">
        <f t="shared" si="2"/>
        <v>0</v>
      </c>
      <c r="L19">
        <v>43</v>
      </c>
    </row>
    <row r="20" spans="1:15" x14ac:dyDescent="0.3">
      <c r="A20">
        <v>44</v>
      </c>
      <c r="B20">
        <v>9209064093</v>
      </c>
      <c r="C20" t="s">
        <v>88</v>
      </c>
      <c r="D20" t="s">
        <v>89</v>
      </c>
      <c r="E20" t="s">
        <v>90</v>
      </c>
      <c r="F20" t="s">
        <v>48</v>
      </c>
      <c r="G20" t="s">
        <v>48</v>
      </c>
      <c r="H20">
        <f t="shared" si="0"/>
        <v>4</v>
      </c>
      <c r="I20">
        <v>33.299999999999997</v>
      </c>
      <c r="J20" t="str">
        <f t="shared" si="1"/>
        <v>Correct</v>
      </c>
      <c r="K20">
        <f t="shared" si="2"/>
        <v>0</v>
      </c>
      <c r="L20">
        <v>44</v>
      </c>
    </row>
    <row r="21" spans="1:15" x14ac:dyDescent="0.3">
      <c r="A21">
        <v>45</v>
      </c>
      <c r="B21">
        <v>9209064094</v>
      </c>
      <c r="C21" t="s">
        <v>91</v>
      </c>
      <c r="D21" t="s">
        <v>92</v>
      </c>
      <c r="E21" t="s">
        <v>93</v>
      </c>
      <c r="F21" t="s">
        <v>48</v>
      </c>
      <c r="G21" t="s">
        <v>48</v>
      </c>
      <c r="H21">
        <f t="shared" si="0"/>
        <v>4</v>
      </c>
      <c r="I21">
        <v>24.5</v>
      </c>
      <c r="J21" t="str">
        <f t="shared" si="1"/>
        <v>Correct</v>
      </c>
      <c r="K21">
        <f t="shared" si="2"/>
        <v>0</v>
      </c>
      <c r="L21">
        <v>45</v>
      </c>
    </row>
    <row r="22" spans="1:15" x14ac:dyDescent="0.3">
      <c r="A22">
        <v>46</v>
      </c>
      <c r="B22">
        <v>9209064095</v>
      </c>
      <c r="C22" t="s">
        <v>94</v>
      </c>
      <c r="D22" t="s">
        <v>95</v>
      </c>
      <c r="E22" t="s">
        <v>96</v>
      </c>
      <c r="F22" t="s">
        <v>29</v>
      </c>
      <c r="G22" t="s">
        <v>48</v>
      </c>
      <c r="H22">
        <f t="shared" si="0"/>
        <v>-1</v>
      </c>
      <c r="I22">
        <v>86.4</v>
      </c>
      <c r="J22" t="str">
        <f t="shared" si="1"/>
        <v>Incorrect</v>
      </c>
      <c r="K22">
        <f t="shared" si="2"/>
        <v>1</v>
      </c>
      <c r="L22">
        <v>46</v>
      </c>
      <c r="M22">
        <v>46</v>
      </c>
      <c r="O22" t="s">
        <v>97</v>
      </c>
    </row>
    <row r="23" spans="1:15" x14ac:dyDescent="0.3">
      <c r="A23">
        <v>47</v>
      </c>
      <c r="B23">
        <v>9209064096</v>
      </c>
      <c r="C23" t="s">
        <v>98</v>
      </c>
      <c r="D23" t="s">
        <v>99</v>
      </c>
      <c r="E23" t="s">
        <v>100</v>
      </c>
      <c r="F23" t="s">
        <v>48</v>
      </c>
      <c r="G23" t="s">
        <v>36</v>
      </c>
      <c r="H23">
        <f t="shared" si="0"/>
        <v>-1</v>
      </c>
      <c r="I23">
        <v>77.400000000000006</v>
      </c>
      <c r="J23" t="str">
        <f t="shared" si="1"/>
        <v>Incorrect</v>
      </c>
      <c r="K23">
        <f t="shared" si="2"/>
        <v>1</v>
      </c>
      <c r="L23">
        <v>47</v>
      </c>
      <c r="M23">
        <v>47</v>
      </c>
      <c r="N23">
        <v>47</v>
      </c>
      <c r="O23" t="s">
        <v>101</v>
      </c>
    </row>
    <row r="24" spans="1:15" x14ac:dyDescent="0.3">
      <c r="A24">
        <v>48</v>
      </c>
      <c r="B24">
        <v>9209064097</v>
      </c>
      <c r="C24" t="s">
        <v>102</v>
      </c>
      <c r="D24" t="s">
        <v>103</v>
      </c>
      <c r="E24" t="s">
        <v>104</v>
      </c>
      <c r="F24" t="s">
        <v>48</v>
      </c>
      <c r="G24" t="s">
        <v>48</v>
      </c>
      <c r="H24">
        <f t="shared" si="0"/>
        <v>4</v>
      </c>
      <c r="I24">
        <v>34.1</v>
      </c>
      <c r="J24" t="str">
        <f t="shared" si="1"/>
        <v>Correct</v>
      </c>
      <c r="K24">
        <f t="shared" si="2"/>
        <v>0</v>
      </c>
      <c r="L24">
        <v>48</v>
      </c>
      <c r="N24">
        <v>48</v>
      </c>
      <c r="O24" t="s">
        <v>105</v>
      </c>
    </row>
    <row r="25" spans="1:15" x14ac:dyDescent="0.3">
      <c r="A25">
        <v>49</v>
      </c>
      <c r="B25">
        <v>9209064098</v>
      </c>
      <c r="C25" t="s">
        <v>106</v>
      </c>
      <c r="D25" t="s">
        <v>107</v>
      </c>
      <c r="E25" t="s">
        <v>96</v>
      </c>
      <c r="F25" t="s">
        <v>29</v>
      </c>
      <c r="G25" t="s">
        <v>29</v>
      </c>
      <c r="H25">
        <f t="shared" si="0"/>
        <v>4</v>
      </c>
      <c r="I25">
        <v>103.6</v>
      </c>
      <c r="J25" t="str">
        <f t="shared" si="1"/>
        <v>Correct</v>
      </c>
      <c r="K25">
        <f t="shared" si="2"/>
        <v>0</v>
      </c>
      <c r="L25">
        <v>49</v>
      </c>
    </row>
    <row r="26" spans="1:15" x14ac:dyDescent="0.3">
      <c r="A26">
        <v>50</v>
      </c>
      <c r="B26">
        <v>9209064099</v>
      </c>
      <c r="C26" t="s">
        <v>108</v>
      </c>
      <c r="D26" t="s">
        <v>109</v>
      </c>
      <c r="E26" t="s">
        <v>96</v>
      </c>
      <c r="F26" t="s">
        <v>29</v>
      </c>
      <c r="G26" t="s">
        <v>110</v>
      </c>
      <c r="H26">
        <f t="shared" si="0"/>
        <v>0</v>
      </c>
      <c r="I26">
        <v>148.19999999999999</v>
      </c>
      <c r="J26" t="str">
        <f t="shared" si="1"/>
        <v>Unattempted</v>
      </c>
      <c r="K26">
        <f t="shared" si="2"/>
        <v>0</v>
      </c>
      <c r="L26">
        <v>50</v>
      </c>
      <c r="M26">
        <v>50</v>
      </c>
      <c r="N26">
        <v>50</v>
      </c>
      <c r="O26" t="s">
        <v>111</v>
      </c>
    </row>
    <row r="27" spans="1:15" x14ac:dyDescent="0.3">
      <c r="A27">
        <v>51</v>
      </c>
      <c r="B27">
        <v>9209064100</v>
      </c>
      <c r="C27" t="s">
        <v>112</v>
      </c>
      <c r="D27" t="s">
        <v>113</v>
      </c>
      <c r="E27" t="s">
        <v>114</v>
      </c>
      <c r="F27" t="s">
        <v>29</v>
      </c>
      <c r="G27" t="s">
        <v>29</v>
      </c>
      <c r="H27">
        <f t="shared" si="0"/>
        <v>4</v>
      </c>
      <c r="I27">
        <v>219.7</v>
      </c>
      <c r="J27" t="str">
        <f t="shared" si="1"/>
        <v>Correct</v>
      </c>
      <c r="K27">
        <f t="shared" si="2"/>
        <v>0</v>
      </c>
      <c r="L27">
        <v>51</v>
      </c>
      <c r="N27">
        <v>51</v>
      </c>
      <c r="O27" t="s">
        <v>115</v>
      </c>
    </row>
    <row r="28" spans="1:15" x14ac:dyDescent="0.3">
      <c r="A28">
        <v>52</v>
      </c>
      <c r="B28">
        <v>9209064101</v>
      </c>
      <c r="C28" t="s">
        <v>116</v>
      </c>
      <c r="D28" t="s">
        <v>117</v>
      </c>
      <c r="E28" t="s">
        <v>114</v>
      </c>
      <c r="F28" t="s">
        <v>29</v>
      </c>
      <c r="G28" t="s">
        <v>29</v>
      </c>
      <c r="H28">
        <f t="shared" si="0"/>
        <v>4</v>
      </c>
      <c r="I28">
        <v>119.9</v>
      </c>
      <c r="J28" t="str">
        <f t="shared" si="1"/>
        <v>Correct</v>
      </c>
      <c r="K28">
        <f t="shared" si="2"/>
        <v>0</v>
      </c>
      <c r="L28">
        <v>52</v>
      </c>
      <c r="N28">
        <v>52</v>
      </c>
      <c r="O28" t="s">
        <v>118</v>
      </c>
    </row>
    <row r="29" spans="1:15" x14ac:dyDescent="0.3">
      <c r="A29">
        <v>53</v>
      </c>
      <c r="B29">
        <v>9209064102</v>
      </c>
      <c r="C29" t="s">
        <v>119</v>
      </c>
      <c r="D29" t="s">
        <v>120</v>
      </c>
      <c r="E29" t="s">
        <v>121</v>
      </c>
      <c r="F29" t="s">
        <v>26</v>
      </c>
      <c r="G29" t="s">
        <v>26</v>
      </c>
      <c r="H29">
        <f t="shared" si="0"/>
        <v>4</v>
      </c>
      <c r="I29">
        <v>46.8</v>
      </c>
      <c r="J29" t="str">
        <f t="shared" si="1"/>
        <v>Correct</v>
      </c>
      <c r="K29">
        <f t="shared" si="2"/>
        <v>0</v>
      </c>
      <c r="L29">
        <v>53</v>
      </c>
    </row>
    <row r="30" spans="1:15" x14ac:dyDescent="0.3">
      <c r="A30">
        <v>54</v>
      </c>
      <c r="B30">
        <v>9209064103</v>
      </c>
      <c r="C30" t="s">
        <v>122</v>
      </c>
      <c r="D30" t="s">
        <v>123</v>
      </c>
      <c r="E30" t="s">
        <v>114</v>
      </c>
      <c r="F30" t="s">
        <v>29</v>
      </c>
      <c r="G30" t="s">
        <v>26</v>
      </c>
      <c r="H30">
        <f t="shared" si="0"/>
        <v>-1</v>
      </c>
      <c r="I30">
        <v>58.5</v>
      </c>
      <c r="J30" t="str">
        <f t="shared" si="1"/>
        <v>Incorrect</v>
      </c>
      <c r="K30">
        <f t="shared" si="2"/>
        <v>1</v>
      </c>
      <c r="L30">
        <v>54</v>
      </c>
      <c r="M30">
        <v>54</v>
      </c>
      <c r="O30" t="s">
        <v>124</v>
      </c>
    </row>
    <row r="31" spans="1:15" x14ac:dyDescent="0.3">
      <c r="A31">
        <v>55</v>
      </c>
      <c r="B31">
        <v>9209064104</v>
      </c>
      <c r="C31" t="s">
        <v>125</v>
      </c>
      <c r="D31" t="s">
        <v>126</v>
      </c>
      <c r="E31" t="s">
        <v>66</v>
      </c>
      <c r="F31" t="s">
        <v>36</v>
      </c>
      <c r="G31" t="s">
        <v>36</v>
      </c>
      <c r="H31">
        <f t="shared" si="0"/>
        <v>4</v>
      </c>
      <c r="I31">
        <v>21.4</v>
      </c>
      <c r="J31" t="str">
        <f t="shared" si="1"/>
        <v>Correct</v>
      </c>
      <c r="K31">
        <f t="shared" si="2"/>
        <v>0</v>
      </c>
      <c r="L31">
        <v>55</v>
      </c>
    </row>
    <row r="32" spans="1:15" x14ac:dyDescent="0.3">
      <c r="A32">
        <v>56</v>
      </c>
      <c r="B32">
        <v>9209064105</v>
      </c>
      <c r="C32" t="s">
        <v>127</v>
      </c>
      <c r="D32" t="s">
        <v>128</v>
      </c>
      <c r="E32" t="s">
        <v>77</v>
      </c>
      <c r="F32" t="s">
        <v>26</v>
      </c>
      <c r="G32" t="s">
        <v>26</v>
      </c>
      <c r="H32">
        <f t="shared" si="0"/>
        <v>4</v>
      </c>
      <c r="I32">
        <v>54.5</v>
      </c>
      <c r="J32" t="str">
        <f t="shared" si="1"/>
        <v>Correct</v>
      </c>
      <c r="K32">
        <f t="shared" si="2"/>
        <v>0</v>
      </c>
      <c r="L32">
        <v>56</v>
      </c>
    </row>
    <row r="33" spans="1:15" x14ac:dyDescent="0.3">
      <c r="A33">
        <v>57</v>
      </c>
      <c r="B33">
        <v>9209064106</v>
      </c>
      <c r="C33" t="s">
        <v>129</v>
      </c>
      <c r="D33" t="s">
        <v>130</v>
      </c>
      <c r="E33" t="s">
        <v>131</v>
      </c>
      <c r="F33" t="s">
        <v>48</v>
      </c>
      <c r="G33" t="s">
        <v>48</v>
      </c>
      <c r="H33">
        <f t="shared" si="0"/>
        <v>4</v>
      </c>
      <c r="I33">
        <v>65.900000000000006</v>
      </c>
      <c r="J33" t="str">
        <f t="shared" si="1"/>
        <v>Correct</v>
      </c>
      <c r="K33">
        <f t="shared" si="2"/>
        <v>0</v>
      </c>
      <c r="L33">
        <v>57</v>
      </c>
    </row>
    <row r="34" spans="1:15" x14ac:dyDescent="0.3">
      <c r="A34">
        <v>58</v>
      </c>
      <c r="B34">
        <v>9209064107</v>
      </c>
      <c r="C34" t="s">
        <v>132</v>
      </c>
      <c r="D34" t="s">
        <v>133</v>
      </c>
      <c r="E34" t="s">
        <v>84</v>
      </c>
      <c r="F34" t="s">
        <v>48</v>
      </c>
      <c r="G34" t="s">
        <v>48</v>
      </c>
      <c r="H34">
        <f t="shared" ref="H34:H65" si="3">IF(J34="Correct", 4, IF(J34="Incorrect", -1, 0))</f>
        <v>4</v>
      </c>
      <c r="I34">
        <v>52.5</v>
      </c>
      <c r="J34" t="str">
        <f t="shared" ref="J34:J65" si="4">IF(OR(ISBLANK(G34), G34="Not Attempted", G34=""), "Unattempted", IF(G34=F34, "Correct", "Incorrect"))</f>
        <v>Correct</v>
      </c>
      <c r="K34">
        <f t="shared" ref="K34:K65" si="5">IF(J34="Incorrect", 1, 0)</f>
        <v>0</v>
      </c>
      <c r="L34">
        <v>58</v>
      </c>
    </row>
    <row r="35" spans="1:15" x14ac:dyDescent="0.3">
      <c r="A35">
        <v>59</v>
      </c>
      <c r="B35">
        <v>9209064108</v>
      </c>
      <c r="C35" t="s">
        <v>134</v>
      </c>
      <c r="D35" t="s">
        <v>135</v>
      </c>
      <c r="E35" t="s">
        <v>136</v>
      </c>
      <c r="F35" t="s">
        <v>36</v>
      </c>
      <c r="G35" t="s">
        <v>29</v>
      </c>
      <c r="H35">
        <f t="shared" si="3"/>
        <v>-1</v>
      </c>
      <c r="I35">
        <v>83.6</v>
      </c>
      <c r="J35" t="str">
        <f t="shared" si="4"/>
        <v>Incorrect</v>
      </c>
      <c r="K35">
        <f t="shared" si="5"/>
        <v>1</v>
      </c>
      <c r="L35">
        <v>59</v>
      </c>
      <c r="M35">
        <v>59</v>
      </c>
      <c r="N35">
        <v>59</v>
      </c>
      <c r="O35" t="s">
        <v>137</v>
      </c>
    </row>
    <row r="36" spans="1:15" x14ac:dyDescent="0.3">
      <c r="A36">
        <v>60</v>
      </c>
      <c r="B36">
        <v>9209064109</v>
      </c>
      <c r="C36" t="s">
        <v>138</v>
      </c>
      <c r="D36" t="s">
        <v>139</v>
      </c>
      <c r="E36" t="s">
        <v>140</v>
      </c>
      <c r="F36" t="s">
        <v>26</v>
      </c>
      <c r="G36" t="s">
        <v>26</v>
      </c>
      <c r="H36">
        <f t="shared" si="3"/>
        <v>4</v>
      </c>
      <c r="I36">
        <v>49.6</v>
      </c>
      <c r="J36" t="str">
        <f t="shared" si="4"/>
        <v>Correct</v>
      </c>
      <c r="K36">
        <f t="shared" si="5"/>
        <v>0</v>
      </c>
      <c r="L36">
        <v>60</v>
      </c>
    </row>
    <row r="37" spans="1:15" x14ac:dyDescent="0.3">
      <c r="A37">
        <v>61</v>
      </c>
      <c r="B37">
        <v>9209064110</v>
      </c>
      <c r="C37" t="s">
        <v>141</v>
      </c>
      <c r="D37" t="s">
        <v>142</v>
      </c>
      <c r="E37" t="s">
        <v>143</v>
      </c>
      <c r="F37" t="s">
        <v>48</v>
      </c>
      <c r="G37" t="s">
        <v>110</v>
      </c>
      <c r="H37">
        <f t="shared" si="3"/>
        <v>0</v>
      </c>
      <c r="I37">
        <v>26.1</v>
      </c>
      <c r="J37" t="str">
        <f t="shared" si="4"/>
        <v>Unattempted</v>
      </c>
      <c r="K37">
        <f t="shared" si="5"/>
        <v>0</v>
      </c>
      <c r="L37">
        <v>61</v>
      </c>
      <c r="M37">
        <v>61</v>
      </c>
      <c r="N37">
        <v>61</v>
      </c>
      <c r="O37" t="s">
        <v>144</v>
      </c>
    </row>
    <row r="38" spans="1:15" x14ac:dyDescent="0.3">
      <c r="A38">
        <v>62</v>
      </c>
      <c r="B38">
        <v>9209064111</v>
      </c>
      <c r="C38" t="s">
        <v>145</v>
      </c>
      <c r="D38" t="s">
        <v>146</v>
      </c>
      <c r="E38" t="s">
        <v>147</v>
      </c>
      <c r="F38" t="s">
        <v>36</v>
      </c>
      <c r="G38" t="s">
        <v>36</v>
      </c>
      <c r="H38">
        <f t="shared" si="3"/>
        <v>4</v>
      </c>
      <c r="I38">
        <v>76.7</v>
      </c>
      <c r="J38" t="str">
        <f t="shared" si="4"/>
        <v>Correct</v>
      </c>
      <c r="K38">
        <f t="shared" si="5"/>
        <v>0</v>
      </c>
      <c r="L38">
        <v>62</v>
      </c>
    </row>
    <row r="39" spans="1:15" x14ac:dyDescent="0.3">
      <c r="A39">
        <v>63</v>
      </c>
      <c r="B39">
        <v>9209064112</v>
      </c>
      <c r="C39" t="s">
        <v>148</v>
      </c>
      <c r="D39" t="s">
        <v>149</v>
      </c>
      <c r="E39" t="s">
        <v>150</v>
      </c>
      <c r="F39" t="s">
        <v>48</v>
      </c>
      <c r="G39" t="s">
        <v>26</v>
      </c>
      <c r="H39">
        <f t="shared" si="3"/>
        <v>-1</v>
      </c>
      <c r="I39">
        <v>68</v>
      </c>
      <c r="J39" t="str">
        <f t="shared" si="4"/>
        <v>Incorrect</v>
      </c>
      <c r="K39">
        <f t="shared" si="5"/>
        <v>1</v>
      </c>
      <c r="L39">
        <v>63</v>
      </c>
      <c r="M39">
        <v>63</v>
      </c>
      <c r="N39">
        <v>63</v>
      </c>
      <c r="O39" t="s">
        <v>151</v>
      </c>
    </row>
    <row r="40" spans="1:15" x14ac:dyDescent="0.3">
      <c r="A40">
        <v>64</v>
      </c>
      <c r="B40">
        <v>9209064113</v>
      </c>
      <c r="C40" t="s">
        <v>152</v>
      </c>
      <c r="D40" t="s">
        <v>153</v>
      </c>
      <c r="E40" t="s">
        <v>154</v>
      </c>
      <c r="F40" t="s">
        <v>29</v>
      </c>
      <c r="G40" t="s">
        <v>29</v>
      </c>
      <c r="H40">
        <f t="shared" si="3"/>
        <v>4</v>
      </c>
      <c r="I40">
        <v>46.6</v>
      </c>
      <c r="J40" t="str">
        <f t="shared" si="4"/>
        <v>Correct</v>
      </c>
      <c r="K40">
        <f t="shared" si="5"/>
        <v>0</v>
      </c>
      <c r="L40">
        <v>64</v>
      </c>
      <c r="N40">
        <v>64</v>
      </c>
      <c r="O40" t="s">
        <v>155</v>
      </c>
    </row>
    <row r="41" spans="1:15" x14ac:dyDescent="0.3">
      <c r="A41">
        <v>65</v>
      </c>
      <c r="B41">
        <v>9209064114</v>
      </c>
      <c r="C41" t="s">
        <v>156</v>
      </c>
      <c r="D41" t="s">
        <v>157</v>
      </c>
      <c r="E41" t="s">
        <v>158</v>
      </c>
      <c r="F41" t="s">
        <v>36</v>
      </c>
      <c r="G41" t="s">
        <v>29</v>
      </c>
      <c r="H41">
        <f t="shared" si="3"/>
        <v>-1</v>
      </c>
      <c r="I41">
        <v>178.4</v>
      </c>
      <c r="J41" t="str">
        <f t="shared" si="4"/>
        <v>Incorrect</v>
      </c>
      <c r="K41">
        <f t="shared" si="5"/>
        <v>1</v>
      </c>
      <c r="L41">
        <v>65</v>
      </c>
      <c r="M41">
        <v>65</v>
      </c>
      <c r="N41">
        <v>65</v>
      </c>
      <c r="O41" t="s">
        <v>159</v>
      </c>
    </row>
    <row r="42" spans="1:15" x14ac:dyDescent="0.3">
      <c r="A42">
        <v>66</v>
      </c>
      <c r="B42">
        <v>9209064115</v>
      </c>
      <c r="C42" t="s">
        <v>160</v>
      </c>
      <c r="D42" t="s">
        <v>161</v>
      </c>
      <c r="E42" t="s">
        <v>162</v>
      </c>
      <c r="F42" t="s">
        <v>36</v>
      </c>
      <c r="G42" t="s">
        <v>36</v>
      </c>
      <c r="H42">
        <f t="shared" si="3"/>
        <v>4</v>
      </c>
      <c r="I42">
        <v>101.7</v>
      </c>
      <c r="J42" t="str">
        <f t="shared" si="4"/>
        <v>Correct</v>
      </c>
      <c r="K42">
        <f t="shared" si="5"/>
        <v>0</v>
      </c>
      <c r="L42">
        <v>66</v>
      </c>
    </row>
    <row r="43" spans="1:15" x14ac:dyDescent="0.3">
      <c r="A43">
        <v>67</v>
      </c>
      <c r="B43">
        <v>9209064116</v>
      </c>
      <c r="C43" t="s">
        <v>163</v>
      </c>
      <c r="D43" t="s">
        <v>164</v>
      </c>
      <c r="E43" t="s">
        <v>165</v>
      </c>
      <c r="F43" t="s">
        <v>26</v>
      </c>
      <c r="G43" t="s">
        <v>26</v>
      </c>
      <c r="H43">
        <f t="shared" si="3"/>
        <v>4</v>
      </c>
      <c r="I43">
        <v>64.599999999999994</v>
      </c>
      <c r="J43" t="str">
        <f t="shared" si="4"/>
        <v>Correct</v>
      </c>
      <c r="K43">
        <f t="shared" si="5"/>
        <v>0</v>
      </c>
      <c r="L43">
        <v>67</v>
      </c>
    </row>
    <row r="44" spans="1:15" x14ac:dyDescent="0.3">
      <c r="A44">
        <v>68</v>
      </c>
      <c r="B44">
        <v>9209064117</v>
      </c>
      <c r="C44" t="s">
        <v>166</v>
      </c>
      <c r="D44" t="s">
        <v>167</v>
      </c>
      <c r="E44" t="s">
        <v>168</v>
      </c>
      <c r="F44" t="s">
        <v>29</v>
      </c>
      <c r="G44" t="s">
        <v>29</v>
      </c>
      <c r="H44">
        <f t="shared" si="3"/>
        <v>4</v>
      </c>
      <c r="I44">
        <v>77.8</v>
      </c>
      <c r="J44" t="str">
        <f t="shared" si="4"/>
        <v>Correct</v>
      </c>
      <c r="K44">
        <f t="shared" si="5"/>
        <v>0</v>
      </c>
      <c r="L44">
        <v>68</v>
      </c>
    </row>
    <row r="45" spans="1:15" x14ac:dyDescent="0.3">
      <c r="A45">
        <v>69</v>
      </c>
      <c r="B45">
        <v>9209064118</v>
      </c>
      <c r="C45" t="s">
        <v>169</v>
      </c>
      <c r="D45" t="s">
        <v>170</v>
      </c>
      <c r="E45" t="s">
        <v>171</v>
      </c>
      <c r="F45" t="s">
        <v>29</v>
      </c>
      <c r="G45" t="s">
        <v>29</v>
      </c>
      <c r="H45">
        <f t="shared" si="3"/>
        <v>4</v>
      </c>
      <c r="I45">
        <v>25.7</v>
      </c>
      <c r="J45" t="str">
        <f t="shared" si="4"/>
        <v>Correct</v>
      </c>
      <c r="K45">
        <f t="shared" si="5"/>
        <v>0</v>
      </c>
      <c r="L45">
        <v>69</v>
      </c>
    </row>
    <row r="46" spans="1:15" x14ac:dyDescent="0.3">
      <c r="A46">
        <v>70</v>
      </c>
      <c r="B46">
        <v>9209064119</v>
      </c>
      <c r="C46" t="s">
        <v>172</v>
      </c>
      <c r="D46" t="s">
        <v>173</v>
      </c>
      <c r="E46" t="s">
        <v>174</v>
      </c>
      <c r="F46" t="s">
        <v>48</v>
      </c>
      <c r="G46" t="s">
        <v>48</v>
      </c>
      <c r="H46">
        <f t="shared" si="3"/>
        <v>4</v>
      </c>
      <c r="I46">
        <v>30.2</v>
      </c>
      <c r="J46" t="str">
        <f t="shared" si="4"/>
        <v>Correct</v>
      </c>
      <c r="K46">
        <f t="shared" si="5"/>
        <v>0</v>
      </c>
      <c r="L46">
        <v>70</v>
      </c>
    </row>
    <row r="47" spans="1:15" x14ac:dyDescent="0.3">
      <c r="A47">
        <v>71</v>
      </c>
      <c r="B47">
        <v>9209064120</v>
      </c>
      <c r="C47" t="s">
        <v>175</v>
      </c>
      <c r="D47" t="s">
        <v>176</v>
      </c>
      <c r="E47" t="s">
        <v>177</v>
      </c>
      <c r="F47" t="s">
        <v>29</v>
      </c>
      <c r="G47" t="s">
        <v>29</v>
      </c>
      <c r="H47">
        <f t="shared" si="3"/>
        <v>4</v>
      </c>
      <c r="I47">
        <v>151.1</v>
      </c>
      <c r="J47" t="str">
        <f t="shared" si="4"/>
        <v>Correct</v>
      </c>
      <c r="K47">
        <f t="shared" si="5"/>
        <v>0</v>
      </c>
      <c r="L47">
        <v>71</v>
      </c>
      <c r="N47">
        <v>71</v>
      </c>
      <c r="O47" t="s">
        <v>178</v>
      </c>
    </row>
    <row r="48" spans="1:15" x14ac:dyDescent="0.3">
      <c r="A48">
        <v>72</v>
      </c>
      <c r="B48">
        <v>9209064121</v>
      </c>
      <c r="C48" t="s">
        <v>179</v>
      </c>
      <c r="D48" t="s">
        <v>180</v>
      </c>
      <c r="E48" t="s">
        <v>181</v>
      </c>
      <c r="F48" t="s">
        <v>29</v>
      </c>
      <c r="G48" t="s">
        <v>29</v>
      </c>
      <c r="H48">
        <f t="shared" si="3"/>
        <v>4</v>
      </c>
      <c r="I48">
        <v>34.6</v>
      </c>
      <c r="J48" t="str">
        <f t="shared" si="4"/>
        <v>Correct</v>
      </c>
      <c r="K48">
        <f t="shared" si="5"/>
        <v>0</v>
      </c>
      <c r="L48">
        <v>72</v>
      </c>
    </row>
    <row r="49" spans="1:15" x14ac:dyDescent="0.3">
      <c r="A49">
        <v>73</v>
      </c>
      <c r="B49">
        <v>9209064122</v>
      </c>
      <c r="C49" t="s">
        <v>182</v>
      </c>
      <c r="D49" t="s">
        <v>183</v>
      </c>
      <c r="E49" t="s">
        <v>184</v>
      </c>
      <c r="F49" t="s">
        <v>29</v>
      </c>
      <c r="G49" t="s">
        <v>29</v>
      </c>
      <c r="H49">
        <f t="shared" si="3"/>
        <v>4</v>
      </c>
      <c r="I49">
        <v>125.2</v>
      </c>
      <c r="J49" t="str">
        <f t="shared" si="4"/>
        <v>Correct</v>
      </c>
      <c r="K49">
        <f t="shared" si="5"/>
        <v>0</v>
      </c>
      <c r="L49">
        <v>73</v>
      </c>
    </row>
    <row r="50" spans="1:15" x14ac:dyDescent="0.3">
      <c r="A50">
        <v>74</v>
      </c>
      <c r="B50">
        <v>9209064123</v>
      </c>
      <c r="C50" t="s">
        <v>185</v>
      </c>
      <c r="D50" t="s">
        <v>186</v>
      </c>
      <c r="E50" t="s">
        <v>187</v>
      </c>
      <c r="F50" t="s">
        <v>48</v>
      </c>
      <c r="G50" t="s">
        <v>48</v>
      </c>
      <c r="H50">
        <f t="shared" si="3"/>
        <v>4</v>
      </c>
      <c r="I50">
        <v>197.2</v>
      </c>
      <c r="J50" t="str">
        <f t="shared" si="4"/>
        <v>Correct</v>
      </c>
      <c r="K50">
        <f t="shared" si="5"/>
        <v>0</v>
      </c>
      <c r="L50">
        <v>74</v>
      </c>
      <c r="N50">
        <v>74</v>
      </c>
      <c r="O50" t="s">
        <v>188</v>
      </c>
    </row>
    <row r="51" spans="1:15" x14ac:dyDescent="0.3">
      <c r="A51">
        <v>75</v>
      </c>
      <c r="B51">
        <v>9209064124</v>
      </c>
      <c r="C51" t="s">
        <v>189</v>
      </c>
      <c r="D51" t="s">
        <v>190</v>
      </c>
      <c r="E51" t="s">
        <v>191</v>
      </c>
      <c r="F51" t="s">
        <v>26</v>
      </c>
      <c r="G51" t="s">
        <v>26</v>
      </c>
      <c r="H51">
        <f t="shared" si="3"/>
        <v>4</v>
      </c>
      <c r="I51">
        <v>34.299999999999997</v>
      </c>
      <c r="J51" t="str">
        <f t="shared" si="4"/>
        <v>Correct</v>
      </c>
      <c r="K51">
        <f t="shared" si="5"/>
        <v>0</v>
      </c>
      <c r="L51">
        <v>75</v>
      </c>
    </row>
    <row r="52" spans="1:15" x14ac:dyDescent="0.3">
      <c r="A52">
        <v>76</v>
      </c>
      <c r="B52">
        <v>9209064125</v>
      </c>
      <c r="C52" t="s">
        <v>192</v>
      </c>
      <c r="D52" t="s">
        <v>193</v>
      </c>
      <c r="E52" t="s">
        <v>194</v>
      </c>
      <c r="F52" t="s">
        <v>48</v>
      </c>
      <c r="G52" t="s">
        <v>26</v>
      </c>
      <c r="H52">
        <f t="shared" si="3"/>
        <v>-1</v>
      </c>
      <c r="I52">
        <v>45.5</v>
      </c>
      <c r="J52" t="str">
        <f t="shared" si="4"/>
        <v>Incorrect</v>
      </c>
      <c r="K52">
        <f t="shared" si="5"/>
        <v>1</v>
      </c>
      <c r="L52">
        <v>76</v>
      </c>
      <c r="M52">
        <v>76</v>
      </c>
      <c r="N52">
        <v>76</v>
      </c>
      <c r="O52" t="s">
        <v>195</v>
      </c>
    </row>
    <row r="53" spans="1:15" x14ac:dyDescent="0.3">
      <c r="A53">
        <v>77</v>
      </c>
      <c r="B53">
        <v>9209064126</v>
      </c>
      <c r="C53" t="s">
        <v>196</v>
      </c>
      <c r="D53" t="s">
        <v>197</v>
      </c>
      <c r="E53" t="s">
        <v>198</v>
      </c>
      <c r="F53" t="s">
        <v>48</v>
      </c>
      <c r="G53" t="s">
        <v>48</v>
      </c>
      <c r="H53">
        <f t="shared" si="3"/>
        <v>4</v>
      </c>
      <c r="I53">
        <v>136.80000000000001</v>
      </c>
      <c r="J53" t="str">
        <f t="shared" si="4"/>
        <v>Correct</v>
      </c>
      <c r="K53">
        <f t="shared" si="5"/>
        <v>0</v>
      </c>
      <c r="L53">
        <v>77</v>
      </c>
    </row>
    <row r="54" spans="1:15" x14ac:dyDescent="0.3">
      <c r="A54">
        <v>78</v>
      </c>
      <c r="B54">
        <v>9209064127</v>
      </c>
      <c r="C54" t="s">
        <v>199</v>
      </c>
      <c r="D54" t="s">
        <v>200</v>
      </c>
      <c r="E54" t="s">
        <v>201</v>
      </c>
      <c r="F54" t="s">
        <v>29</v>
      </c>
      <c r="G54" t="s">
        <v>110</v>
      </c>
      <c r="H54">
        <f t="shared" si="3"/>
        <v>0</v>
      </c>
      <c r="I54">
        <v>59.4</v>
      </c>
      <c r="J54" t="str">
        <f t="shared" si="4"/>
        <v>Unattempted</v>
      </c>
      <c r="K54">
        <f t="shared" si="5"/>
        <v>0</v>
      </c>
      <c r="L54">
        <v>78</v>
      </c>
      <c r="M54">
        <v>78</v>
      </c>
      <c r="N54">
        <v>78</v>
      </c>
      <c r="O54" t="s">
        <v>202</v>
      </c>
    </row>
    <row r="55" spans="1:15" x14ac:dyDescent="0.3">
      <c r="A55">
        <v>79</v>
      </c>
      <c r="B55">
        <v>9209064128</v>
      </c>
      <c r="C55" t="s">
        <v>203</v>
      </c>
      <c r="D55" t="s">
        <v>204</v>
      </c>
      <c r="E55" t="s">
        <v>205</v>
      </c>
      <c r="F55" t="s">
        <v>29</v>
      </c>
      <c r="G55" t="s">
        <v>29</v>
      </c>
      <c r="H55">
        <f t="shared" si="3"/>
        <v>4</v>
      </c>
      <c r="I55">
        <v>64.400000000000006</v>
      </c>
      <c r="J55" t="str">
        <f t="shared" si="4"/>
        <v>Correct</v>
      </c>
      <c r="K55">
        <f t="shared" si="5"/>
        <v>0</v>
      </c>
      <c r="L55">
        <v>79</v>
      </c>
    </row>
    <row r="56" spans="1:15" x14ac:dyDescent="0.3">
      <c r="A56">
        <v>80</v>
      </c>
      <c r="B56">
        <v>9209064129</v>
      </c>
      <c r="C56" t="s">
        <v>206</v>
      </c>
      <c r="D56" t="s">
        <v>207</v>
      </c>
      <c r="E56" t="s">
        <v>208</v>
      </c>
      <c r="F56" t="s">
        <v>29</v>
      </c>
      <c r="G56" t="s">
        <v>29</v>
      </c>
      <c r="H56">
        <f t="shared" si="3"/>
        <v>4</v>
      </c>
      <c r="I56">
        <v>80</v>
      </c>
      <c r="J56" t="str">
        <f t="shared" si="4"/>
        <v>Correct</v>
      </c>
      <c r="K56">
        <f t="shared" si="5"/>
        <v>0</v>
      </c>
      <c r="L56">
        <v>80</v>
      </c>
    </row>
    <row r="57" spans="1:15" x14ac:dyDescent="0.3">
      <c r="A57">
        <v>81</v>
      </c>
      <c r="B57">
        <v>9209064130</v>
      </c>
      <c r="C57" t="s">
        <v>209</v>
      </c>
      <c r="D57" t="s">
        <v>210</v>
      </c>
      <c r="E57" t="s">
        <v>205</v>
      </c>
      <c r="F57" t="s">
        <v>26</v>
      </c>
      <c r="G57" t="s">
        <v>26</v>
      </c>
      <c r="H57">
        <f t="shared" si="3"/>
        <v>4</v>
      </c>
      <c r="I57">
        <v>227.3</v>
      </c>
      <c r="J57" t="str">
        <f t="shared" si="4"/>
        <v>Correct</v>
      </c>
      <c r="K57">
        <f t="shared" si="5"/>
        <v>0</v>
      </c>
      <c r="L57">
        <v>81</v>
      </c>
      <c r="N57">
        <v>81</v>
      </c>
      <c r="O57" t="s">
        <v>211</v>
      </c>
    </row>
    <row r="58" spans="1:15" x14ac:dyDescent="0.3">
      <c r="A58">
        <v>82</v>
      </c>
      <c r="B58">
        <v>9209064131</v>
      </c>
      <c r="C58" t="s">
        <v>212</v>
      </c>
      <c r="D58" t="s">
        <v>213</v>
      </c>
      <c r="E58" t="s">
        <v>214</v>
      </c>
      <c r="F58" t="s">
        <v>36</v>
      </c>
      <c r="G58" t="s">
        <v>36</v>
      </c>
      <c r="H58">
        <f t="shared" si="3"/>
        <v>4</v>
      </c>
      <c r="I58">
        <v>47.5</v>
      </c>
      <c r="J58" t="str">
        <f t="shared" si="4"/>
        <v>Correct</v>
      </c>
      <c r="K58">
        <f t="shared" si="5"/>
        <v>0</v>
      </c>
      <c r="L58">
        <v>82</v>
      </c>
    </row>
    <row r="59" spans="1:15" x14ac:dyDescent="0.3">
      <c r="A59">
        <v>83</v>
      </c>
      <c r="B59">
        <v>9209064132</v>
      </c>
      <c r="C59" t="s">
        <v>215</v>
      </c>
      <c r="D59" t="s">
        <v>216</v>
      </c>
      <c r="E59" t="s">
        <v>217</v>
      </c>
      <c r="F59" t="s">
        <v>29</v>
      </c>
      <c r="G59" t="s">
        <v>29</v>
      </c>
      <c r="H59">
        <f t="shared" si="3"/>
        <v>4</v>
      </c>
      <c r="I59">
        <v>57</v>
      </c>
      <c r="J59" t="str">
        <f t="shared" si="4"/>
        <v>Correct</v>
      </c>
      <c r="K59">
        <f t="shared" si="5"/>
        <v>0</v>
      </c>
      <c r="L59">
        <v>83</v>
      </c>
    </row>
    <row r="60" spans="1:15" x14ac:dyDescent="0.3">
      <c r="A60">
        <v>84</v>
      </c>
      <c r="B60">
        <v>9209064133</v>
      </c>
      <c r="C60" t="s">
        <v>218</v>
      </c>
      <c r="D60" t="s">
        <v>219</v>
      </c>
      <c r="E60" t="s">
        <v>220</v>
      </c>
      <c r="F60" t="s">
        <v>29</v>
      </c>
      <c r="G60" t="s">
        <v>110</v>
      </c>
      <c r="H60">
        <f t="shared" si="3"/>
        <v>0</v>
      </c>
      <c r="I60">
        <v>20.3</v>
      </c>
      <c r="J60" t="str">
        <f t="shared" si="4"/>
        <v>Unattempted</v>
      </c>
      <c r="K60">
        <f t="shared" si="5"/>
        <v>0</v>
      </c>
      <c r="L60">
        <v>84</v>
      </c>
      <c r="M60">
        <v>84</v>
      </c>
      <c r="N60">
        <v>84</v>
      </c>
      <c r="O60" t="s">
        <v>221</v>
      </c>
    </row>
    <row r="61" spans="1:15" x14ac:dyDescent="0.3">
      <c r="A61">
        <v>85</v>
      </c>
      <c r="B61">
        <v>9209064134</v>
      </c>
      <c r="C61" t="s">
        <v>222</v>
      </c>
      <c r="D61" t="s">
        <v>223</v>
      </c>
      <c r="E61" t="s">
        <v>205</v>
      </c>
      <c r="F61" t="s">
        <v>29</v>
      </c>
      <c r="G61" t="s">
        <v>29</v>
      </c>
      <c r="H61">
        <f t="shared" si="3"/>
        <v>4</v>
      </c>
      <c r="I61">
        <v>46.8</v>
      </c>
      <c r="J61" t="str">
        <f t="shared" si="4"/>
        <v>Correct</v>
      </c>
      <c r="K61">
        <f t="shared" si="5"/>
        <v>0</v>
      </c>
      <c r="L61">
        <v>85</v>
      </c>
    </row>
    <row r="62" spans="1:15" x14ac:dyDescent="0.3">
      <c r="A62">
        <v>86</v>
      </c>
      <c r="B62">
        <v>9209064135</v>
      </c>
      <c r="C62" t="s">
        <v>224</v>
      </c>
      <c r="D62" t="s">
        <v>225</v>
      </c>
      <c r="E62" t="s">
        <v>66</v>
      </c>
      <c r="F62" t="s">
        <v>36</v>
      </c>
      <c r="G62" t="s">
        <v>26</v>
      </c>
      <c r="H62">
        <f t="shared" si="3"/>
        <v>-1</v>
      </c>
      <c r="I62">
        <v>60.2</v>
      </c>
      <c r="J62" t="str">
        <f t="shared" si="4"/>
        <v>Incorrect</v>
      </c>
      <c r="K62">
        <f t="shared" si="5"/>
        <v>1</v>
      </c>
      <c r="L62">
        <v>86</v>
      </c>
      <c r="M62">
        <v>86</v>
      </c>
      <c r="N62">
        <v>86</v>
      </c>
      <c r="O62" t="s">
        <v>226</v>
      </c>
    </row>
    <row r="63" spans="1:15" x14ac:dyDescent="0.3">
      <c r="A63">
        <v>87</v>
      </c>
      <c r="B63">
        <v>9209064136</v>
      </c>
      <c r="C63" t="s">
        <v>227</v>
      </c>
      <c r="D63" t="s">
        <v>228</v>
      </c>
      <c r="E63" t="s">
        <v>229</v>
      </c>
      <c r="F63" t="s">
        <v>36</v>
      </c>
      <c r="G63" t="s">
        <v>36</v>
      </c>
      <c r="H63">
        <f t="shared" si="3"/>
        <v>4</v>
      </c>
      <c r="I63">
        <v>105.9</v>
      </c>
      <c r="J63" t="str">
        <f t="shared" si="4"/>
        <v>Correct</v>
      </c>
      <c r="K63">
        <f t="shared" si="5"/>
        <v>0</v>
      </c>
      <c r="L63">
        <v>87</v>
      </c>
      <c r="N63">
        <v>87</v>
      </c>
    </row>
    <row r="64" spans="1:15" x14ac:dyDescent="0.3">
      <c r="A64">
        <v>88</v>
      </c>
      <c r="B64">
        <v>9209064137</v>
      </c>
      <c r="C64" t="s">
        <v>230</v>
      </c>
      <c r="D64" t="s">
        <v>231</v>
      </c>
      <c r="E64" t="s">
        <v>232</v>
      </c>
      <c r="F64" t="s">
        <v>36</v>
      </c>
      <c r="G64" t="s">
        <v>36</v>
      </c>
      <c r="H64">
        <f t="shared" si="3"/>
        <v>4</v>
      </c>
      <c r="I64">
        <v>36.6</v>
      </c>
      <c r="J64" t="str">
        <f t="shared" si="4"/>
        <v>Correct</v>
      </c>
      <c r="K64">
        <f t="shared" si="5"/>
        <v>0</v>
      </c>
      <c r="L64">
        <v>88</v>
      </c>
    </row>
    <row r="65" spans="1:15" x14ac:dyDescent="0.3">
      <c r="A65">
        <v>89</v>
      </c>
      <c r="B65">
        <v>9209064138</v>
      </c>
      <c r="C65" t="s">
        <v>233</v>
      </c>
      <c r="D65" t="s">
        <v>234</v>
      </c>
      <c r="E65" t="s">
        <v>136</v>
      </c>
      <c r="F65" t="s">
        <v>36</v>
      </c>
      <c r="G65" t="s">
        <v>36</v>
      </c>
      <c r="H65">
        <f t="shared" si="3"/>
        <v>4</v>
      </c>
      <c r="I65">
        <v>110.7</v>
      </c>
      <c r="J65" t="str">
        <f t="shared" si="4"/>
        <v>Correct</v>
      </c>
      <c r="K65">
        <f t="shared" si="5"/>
        <v>0</v>
      </c>
      <c r="L65">
        <v>89</v>
      </c>
    </row>
    <row r="66" spans="1:15" x14ac:dyDescent="0.3">
      <c r="A66">
        <v>90</v>
      </c>
      <c r="B66">
        <v>9209064139</v>
      </c>
      <c r="C66" t="s">
        <v>235</v>
      </c>
      <c r="D66" t="s">
        <v>236</v>
      </c>
      <c r="E66" t="s">
        <v>237</v>
      </c>
      <c r="F66" t="s">
        <v>36</v>
      </c>
      <c r="G66" t="s">
        <v>36</v>
      </c>
      <c r="H66">
        <f t="shared" ref="H66:H76" si="6">IF(J66="Correct", 4, IF(J66="Incorrect", -1, 0))</f>
        <v>4</v>
      </c>
      <c r="I66">
        <v>67.599999999999994</v>
      </c>
      <c r="J66" t="str">
        <f t="shared" ref="J66:J76" si="7">IF(OR(ISBLANK(G66), G66="Not Attempted", G66=""), "Unattempted", IF(G66=F66, "Correct", "Incorrect"))</f>
        <v>Correct</v>
      </c>
      <c r="K66">
        <f t="shared" ref="K66:K76" si="8">IF(J66="Incorrect", 1, 0)</f>
        <v>0</v>
      </c>
      <c r="L66">
        <v>90</v>
      </c>
    </row>
    <row r="67" spans="1:15" x14ac:dyDescent="0.3">
      <c r="A67">
        <v>91</v>
      </c>
      <c r="B67">
        <v>9209064140</v>
      </c>
      <c r="C67" t="s">
        <v>238</v>
      </c>
      <c r="D67" t="s">
        <v>239</v>
      </c>
      <c r="E67" t="s">
        <v>240</v>
      </c>
      <c r="F67" t="s">
        <v>48</v>
      </c>
      <c r="G67" t="s">
        <v>110</v>
      </c>
      <c r="H67">
        <f t="shared" si="6"/>
        <v>0</v>
      </c>
      <c r="I67">
        <v>122.8</v>
      </c>
      <c r="J67" t="str">
        <f t="shared" si="7"/>
        <v>Unattempted</v>
      </c>
      <c r="K67">
        <f t="shared" si="8"/>
        <v>0</v>
      </c>
      <c r="L67">
        <v>91</v>
      </c>
      <c r="M67">
        <v>91</v>
      </c>
      <c r="O67" t="s">
        <v>241</v>
      </c>
    </row>
    <row r="68" spans="1:15" x14ac:dyDescent="0.3">
      <c r="A68">
        <v>92</v>
      </c>
      <c r="B68">
        <v>9209064141</v>
      </c>
      <c r="C68" t="s">
        <v>242</v>
      </c>
      <c r="D68" t="s">
        <v>243</v>
      </c>
      <c r="E68" t="s">
        <v>244</v>
      </c>
      <c r="F68" t="s">
        <v>48</v>
      </c>
      <c r="G68" t="s">
        <v>48</v>
      </c>
      <c r="H68">
        <f t="shared" si="6"/>
        <v>4</v>
      </c>
      <c r="I68">
        <v>11.4</v>
      </c>
      <c r="J68" t="str">
        <f t="shared" si="7"/>
        <v>Correct</v>
      </c>
      <c r="K68">
        <f t="shared" si="8"/>
        <v>0</v>
      </c>
      <c r="L68">
        <v>92</v>
      </c>
    </row>
    <row r="69" spans="1:15" x14ac:dyDescent="0.3">
      <c r="A69">
        <v>93</v>
      </c>
      <c r="B69">
        <v>9209064142</v>
      </c>
      <c r="C69" t="s">
        <v>245</v>
      </c>
      <c r="D69" t="s">
        <v>246</v>
      </c>
      <c r="E69" t="s">
        <v>247</v>
      </c>
      <c r="F69" t="s">
        <v>48</v>
      </c>
      <c r="G69" t="s">
        <v>48</v>
      </c>
      <c r="H69">
        <f t="shared" si="6"/>
        <v>4</v>
      </c>
      <c r="I69">
        <v>96.2</v>
      </c>
      <c r="J69" t="str">
        <f t="shared" si="7"/>
        <v>Correct</v>
      </c>
      <c r="K69">
        <f t="shared" si="8"/>
        <v>0</v>
      </c>
      <c r="L69">
        <v>93</v>
      </c>
    </row>
    <row r="70" spans="1:15" x14ac:dyDescent="0.3">
      <c r="A70">
        <v>94</v>
      </c>
      <c r="B70">
        <v>9209064143</v>
      </c>
      <c r="C70" t="s">
        <v>248</v>
      </c>
      <c r="D70" t="s">
        <v>249</v>
      </c>
      <c r="E70" t="s">
        <v>250</v>
      </c>
      <c r="F70" t="s">
        <v>48</v>
      </c>
      <c r="G70" t="s">
        <v>26</v>
      </c>
      <c r="H70">
        <f t="shared" si="6"/>
        <v>-1</v>
      </c>
      <c r="I70">
        <v>14</v>
      </c>
      <c r="J70" t="str">
        <f t="shared" si="7"/>
        <v>Incorrect</v>
      </c>
      <c r="K70">
        <f t="shared" si="8"/>
        <v>1</v>
      </c>
      <c r="L70">
        <v>94</v>
      </c>
      <c r="M70">
        <v>94</v>
      </c>
      <c r="O70" t="s">
        <v>251</v>
      </c>
    </row>
    <row r="71" spans="1:15" x14ac:dyDescent="0.3">
      <c r="A71">
        <v>95</v>
      </c>
      <c r="B71">
        <v>9209064144</v>
      </c>
      <c r="C71" t="s">
        <v>252</v>
      </c>
      <c r="D71" t="s">
        <v>253</v>
      </c>
      <c r="E71" t="s">
        <v>254</v>
      </c>
      <c r="F71" t="s">
        <v>29</v>
      </c>
      <c r="G71" t="s">
        <v>110</v>
      </c>
      <c r="H71">
        <f t="shared" si="6"/>
        <v>0</v>
      </c>
      <c r="I71">
        <v>10.3</v>
      </c>
      <c r="J71" t="str">
        <f t="shared" si="7"/>
        <v>Unattempted</v>
      </c>
      <c r="K71">
        <f t="shared" si="8"/>
        <v>0</v>
      </c>
      <c r="L71">
        <v>95</v>
      </c>
    </row>
    <row r="72" spans="1:15" x14ac:dyDescent="0.3">
      <c r="A72">
        <v>96</v>
      </c>
      <c r="B72">
        <v>9209064145</v>
      </c>
      <c r="C72" t="s">
        <v>255</v>
      </c>
      <c r="D72" t="s">
        <v>256</v>
      </c>
      <c r="E72" t="s">
        <v>257</v>
      </c>
      <c r="F72" t="s">
        <v>29</v>
      </c>
      <c r="G72" t="s">
        <v>110</v>
      </c>
      <c r="H72">
        <f t="shared" si="6"/>
        <v>0</v>
      </c>
      <c r="I72">
        <v>0</v>
      </c>
      <c r="J72" t="str">
        <f t="shared" si="7"/>
        <v>Unattempted</v>
      </c>
      <c r="K72">
        <f t="shared" si="8"/>
        <v>0</v>
      </c>
      <c r="L72">
        <v>96</v>
      </c>
      <c r="M72">
        <v>96</v>
      </c>
      <c r="O72" t="s">
        <v>258</v>
      </c>
    </row>
    <row r="73" spans="1:15" x14ac:dyDescent="0.3">
      <c r="A73">
        <v>97</v>
      </c>
      <c r="B73">
        <v>9209064146</v>
      </c>
      <c r="C73" t="s">
        <v>259</v>
      </c>
      <c r="D73" t="s">
        <v>260</v>
      </c>
      <c r="E73" t="s">
        <v>261</v>
      </c>
      <c r="F73" t="s">
        <v>36</v>
      </c>
      <c r="G73" t="s">
        <v>110</v>
      </c>
      <c r="H73">
        <f t="shared" si="6"/>
        <v>0</v>
      </c>
      <c r="I73">
        <v>0</v>
      </c>
      <c r="J73" t="str">
        <f t="shared" si="7"/>
        <v>Unattempted</v>
      </c>
      <c r="K73">
        <f t="shared" si="8"/>
        <v>0</v>
      </c>
      <c r="L73">
        <v>97</v>
      </c>
    </row>
    <row r="74" spans="1:15" x14ac:dyDescent="0.3">
      <c r="A74">
        <v>98</v>
      </c>
      <c r="B74">
        <v>9209064147</v>
      </c>
      <c r="C74" t="s">
        <v>262</v>
      </c>
      <c r="D74" t="s">
        <v>263</v>
      </c>
      <c r="E74" t="s">
        <v>264</v>
      </c>
      <c r="F74" t="s">
        <v>48</v>
      </c>
      <c r="G74" t="s">
        <v>110</v>
      </c>
      <c r="H74">
        <f t="shared" si="6"/>
        <v>0</v>
      </c>
      <c r="I74">
        <v>0</v>
      </c>
      <c r="J74" t="str">
        <f t="shared" si="7"/>
        <v>Unattempted</v>
      </c>
      <c r="K74">
        <f t="shared" si="8"/>
        <v>0</v>
      </c>
      <c r="L74">
        <v>98</v>
      </c>
    </row>
    <row r="75" spans="1:15" x14ac:dyDescent="0.3">
      <c r="A75">
        <v>99</v>
      </c>
      <c r="B75">
        <v>9209064148</v>
      </c>
      <c r="C75" t="s">
        <v>265</v>
      </c>
      <c r="D75" t="s">
        <v>266</v>
      </c>
      <c r="E75" t="s">
        <v>267</v>
      </c>
      <c r="F75" t="s">
        <v>48</v>
      </c>
      <c r="G75" t="s">
        <v>110</v>
      </c>
      <c r="H75">
        <f t="shared" si="6"/>
        <v>0</v>
      </c>
      <c r="I75">
        <v>0</v>
      </c>
      <c r="J75" t="str">
        <f t="shared" si="7"/>
        <v>Unattempted</v>
      </c>
      <c r="K75">
        <f t="shared" si="8"/>
        <v>0</v>
      </c>
      <c r="L75">
        <v>99</v>
      </c>
    </row>
    <row r="76" spans="1:15" x14ac:dyDescent="0.3">
      <c r="A76">
        <v>100</v>
      </c>
      <c r="B76">
        <v>9209064149</v>
      </c>
      <c r="C76" t="s">
        <v>268</v>
      </c>
      <c r="D76" t="s">
        <v>269</v>
      </c>
      <c r="E76" t="s">
        <v>270</v>
      </c>
      <c r="F76" t="s">
        <v>29</v>
      </c>
      <c r="G76" t="s">
        <v>110</v>
      </c>
      <c r="H76">
        <f t="shared" si="6"/>
        <v>0</v>
      </c>
      <c r="I76">
        <v>0</v>
      </c>
      <c r="J76" t="str">
        <f t="shared" si="7"/>
        <v>Unattempted</v>
      </c>
      <c r="K76">
        <f t="shared" si="8"/>
        <v>0</v>
      </c>
      <c r="L76">
        <v>100</v>
      </c>
      <c r="M76">
        <v>100</v>
      </c>
      <c r="O76" t="s">
        <v>271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topLeftCell="A54" zoomScale="63" workbookViewId="0">
      <selection activeCell="D83" sqref="D83"/>
    </sheetView>
  </sheetViews>
  <sheetFormatPr defaultRowHeight="14.4" x14ac:dyDescent="0.3"/>
  <cols>
    <col min="1" max="1" width="12" customWidth="1"/>
    <col min="2" max="3" width="60" customWidth="1"/>
    <col min="4" max="4" width="19" customWidth="1"/>
    <col min="5" max="5" width="17" customWidth="1"/>
    <col min="6" max="6" width="21" customWidth="1"/>
    <col min="7" max="10" width="12" customWidth="1"/>
    <col min="11" max="11" width="16" customWidth="1"/>
    <col min="12" max="13" width="60" customWidth="1"/>
    <col min="14" max="14" width="15" customWidth="1"/>
    <col min="15" max="15" width="60" customWidth="1"/>
  </cols>
  <sheetData>
    <row r="1" spans="1:15" x14ac:dyDescent="0.3">
      <c r="A1" s="4" t="s">
        <v>8</v>
      </c>
      <c r="B1" s="4" t="s">
        <v>9</v>
      </c>
      <c r="C1" s="4" t="s">
        <v>10</v>
      </c>
      <c r="D1" s="4" t="s">
        <v>11</v>
      </c>
      <c r="E1" s="4" t="s">
        <v>13</v>
      </c>
      <c r="F1" s="4" t="s">
        <v>12</v>
      </c>
      <c r="G1" s="4" t="s">
        <v>14</v>
      </c>
      <c r="H1" s="4" t="s">
        <v>15</v>
      </c>
      <c r="I1" s="4" t="s">
        <v>16</v>
      </c>
      <c r="J1" s="4" t="s">
        <v>17</v>
      </c>
      <c r="K1" s="4" t="s">
        <v>18</v>
      </c>
      <c r="L1" s="4" t="s">
        <v>19</v>
      </c>
      <c r="M1" s="4" t="s">
        <v>20</v>
      </c>
      <c r="N1" s="4" t="s">
        <v>21</v>
      </c>
      <c r="O1" s="4" t="s">
        <v>22</v>
      </c>
    </row>
    <row r="2" spans="1:15" x14ac:dyDescent="0.3">
      <c r="A2">
        <v>26</v>
      </c>
      <c r="B2">
        <v>68634038411</v>
      </c>
      <c r="C2" t="s">
        <v>272</v>
      </c>
      <c r="D2">
        <v>686340151704</v>
      </c>
      <c r="E2" t="s">
        <v>273</v>
      </c>
      <c r="F2" t="s">
        <v>26</v>
      </c>
      <c r="G2" t="s">
        <v>26</v>
      </c>
      <c r="H2">
        <f t="shared" ref="H2:H33" si="0">IF(J2="Correct", 4, IF(J2="Incorrect", -1, 0))</f>
        <v>-1</v>
      </c>
      <c r="I2">
        <v>23.6</v>
      </c>
      <c r="J2" t="str">
        <f t="shared" ref="J2:J33" si="1">IF(OR(ISBLANK(G2), G2="Not Attempted", G2=""), "Unattempted", IF(G2=E2, "Correct", "Incorrect"))</f>
        <v>Incorrect</v>
      </c>
      <c r="K2">
        <f t="shared" ref="K2:K33" si="2">IF(J2="Incorrect", 1, 0)</f>
        <v>1</v>
      </c>
      <c r="L2">
        <v>26</v>
      </c>
    </row>
    <row r="3" spans="1:15" x14ac:dyDescent="0.3">
      <c r="A3">
        <v>27</v>
      </c>
      <c r="B3">
        <v>68634038412</v>
      </c>
      <c r="C3" t="s">
        <v>274</v>
      </c>
      <c r="D3">
        <v>686340151707</v>
      </c>
      <c r="E3" t="s">
        <v>275</v>
      </c>
      <c r="F3" t="s">
        <v>36</v>
      </c>
      <c r="G3" t="s">
        <v>36</v>
      </c>
      <c r="H3">
        <f t="shared" si="0"/>
        <v>-1</v>
      </c>
      <c r="I3">
        <v>33.200000000000003</v>
      </c>
      <c r="J3" t="str">
        <f t="shared" si="1"/>
        <v>Incorrect</v>
      </c>
      <c r="K3">
        <f t="shared" si="2"/>
        <v>1</v>
      </c>
      <c r="L3">
        <v>27</v>
      </c>
    </row>
    <row r="4" spans="1:15" x14ac:dyDescent="0.3">
      <c r="A4">
        <v>28</v>
      </c>
      <c r="B4">
        <v>68634038413</v>
      </c>
      <c r="C4" t="s">
        <v>276</v>
      </c>
      <c r="D4">
        <v>686340151709</v>
      </c>
      <c r="E4" t="s">
        <v>277</v>
      </c>
      <c r="F4" t="s">
        <v>29</v>
      </c>
      <c r="G4" t="s">
        <v>29</v>
      </c>
      <c r="H4">
        <f t="shared" si="0"/>
        <v>-1</v>
      </c>
      <c r="I4">
        <v>23.9</v>
      </c>
      <c r="J4" t="str">
        <f t="shared" si="1"/>
        <v>Incorrect</v>
      </c>
      <c r="K4">
        <f t="shared" si="2"/>
        <v>1</v>
      </c>
      <c r="L4">
        <v>28</v>
      </c>
    </row>
    <row r="5" spans="1:15" x14ac:dyDescent="0.3">
      <c r="A5">
        <v>29</v>
      </c>
      <c r="B5">
        <v>68634038414</v>
      </c>
      <c r="C5" t="s">
        <v>278</v>
      </c>
      <c r="D5">
        <v>686340151715</v>
      </c>
      <c r="E5" t="s">
        <v>279</v>
      </c>
      <c r="F5" t="s">
        <v>36</v>
      </c>
      <c r="G5" t="s">
        <v>36</v>
      </c>
      <c r="H5">
        <f t="shared" si="0"/>
        <v>-1</v>
      </c>
      <c r="I5">
        <v>68.2</v>
      </c>
      <c r="J5" t="str">
        <f t="shared" si="1"/>
        <v>Incorrect</v>
      </c>
      <c r="K5">
        <f t="shared" si="2"/>
        <v>1</v>
      </c>
      <c r="L5">
        <v>29</v>
      </c>
    </row>
    <row r="6" spans="1:15" x14ac:dyDescent="0.3">
      <c r="A6">
        <v>30</v>
      </c>
      <c r="B6">
        <v>68634038415</v>
      </c>
      <c r="C6" t="s">
        <v>280</v>
      </c>
      <c r="D6">
        <v>686340151719</v>
      </c>
      <c r="E6" t="s">
        <v>281</v>
      </c>
      <c r="F6" t="s">
        <v>36</v>
      </c>
      <c r="G6" t="s">
        <v>36</v>
      </c>
      <c r="H6">
        <f t="shared" si="0"/>
        <v>-1</v>
      </c>
      <c r="I6">
        <v>41.3</v>
      </c>
      <c r="J6" t="str">
        <f t="shared" si="1"/>
        <v>Incorrect</v>
      </c>
      <c r="K6">
        <f t="shared" si="2"/>
        <v>1</v>
      </c>
      <c r="L6">
        <v>30</v>
      </c>
      <c r="N6">
        <v>30</v>
      </c>
      <c r="O6" t="s">
        <v>282</v>
      </c>
    </row>
    <row r="7" spans="1:15" x14ac:dyDescent="0.3">
      <c r="A7">
        <v>31</v>
      </c>
      <c r="B7">
        <v>68634038416</v>
      </c>
      <c r="C7" t="s">
        <v>283</v>
      </c>
      <c r="D7">
        <v>686340151722</v>
      </c>
      <c r="E7" t="s">
        <v>284</v>
      </c>
      <c r="F7" t="s">
        <v>48</v>
      </c>
      <c r="G7" t="s">
        <v>48</v>
      </c>
      <c r="H7">
        <f t="shared" si="0"/>
        <v>-1</v>
      </c>
      <c r="I7">
        <v>44.4</v>
      </c>
      <c r="J7" t="str">
        <f t="shared" si="1"/>
        <v>Incorrect</v>
      </c>
      <c r="K7">
        <f t="shared" si="2"/>
        <v>1</v>
      </c>
      <c r="L7">
        <v>31</v>
      </c>
    </row>
    <row r="8" spans="1:15" x14ac:dyDescent="0.3">
      <c r="A8">
        <v>32</v>
      </c>
      <c r="B8">
        <v>68634038417</v>
      </c>
      <c r="C8" t="s">
        <v>285</v>
      </c>
      <c r="D8">
        <v>686340151727</v>
      </c>
      <c r="E8" t="s">
        <v>267</v>
      </c>
      <c r="F8" t="s">
        <v>36</v>
      </c>
      <c r="G8" t="s">
        <v>36</v>
      </c>
      <c r="H8">
        <f t="shared" si="0"/>
        <v>-1</v>
      </c>
      <c r="I8">
        <v>18.399999999999999</v>
      </c>
      <c r="J8" t="str">
        <f t="shared" si="1"/>
        <v>Incorrect</v>
      </c>
      <c r="K8">
        <f t="shared" si="2"/>
        <v>1</v>
      </c>
      <c r="L8">
        <v>32</v>
      </c>
    </row>
    <row r="9" spans="1:15" x14ac:dyDescent="0.3">
      <c r="A9">
        <v>33</v>
      </c>
      <c r="B9">
        <v>68634038418</v>
      </c>
      <c r="C9" t="s">
        <v>286</v>
      </c>
      <c r="D9">
        <v>686340151729</v>
      </c>
      <c r="E9" t="s">
        <v>287</v>
      </c>
      <c r="F9" t="s">
        <v>29</v>
      </c>
      <c r="G9" t="s">
        <v>29</v>
      </c>
      <c r="H9">
        <f t="shared" si="0"/>
        <v>-1</v>
      </c>
      <c r="I9">
        <v>10.3</v>
      </c>
      <c r="J9" t="str">
        <f t="shared" si="1"/>
        <v>Incorrect</v>
      </c>
      <c r="K9">
        <f t="shared" si="2"/>
        <v>1</v>
      </c>
      <c r="L9">
        <v>33</v>
      </c>
    </row>
    <row r="10" spans="1:15" x14ac:dyDescent="0.3">
      <c r="A10">
        <v>34</v>
      </c>
      <c r="B10">
        <v>68634038419</v>
      </c>
      <c r="C10" t="s">
        <v>288</v>
      </c>
      <c r="D10">
        <v>686340151734</v>
      </c>
      <c r="E10" t="s">
        <v>289</v>
      </c>
      <c r="F10" t="s">
        <v>48</v>
      </c>
      <c r="G10" t="s">
        <v>48</v>
      </c>
      <c r="H10">
        <f t="shared" si="0"/>
        <v>-1</v>
      </c>
      <c r="I10">
        <v>106.3</v>
      </c>
      <c r="J10" t="str">
        <f t="shared" si="1"/>
        <v>Incorrect</v>
      </c>
      <c r="K10">
        <f t="shared" si="2"/>
        <v>1</v>
      </c>
      <c r="L10">
        <v>34</v>
      </c>
    </row>
    <row r="11" spans="1:15" x14ac:dyDescent="0.3">
      <c r="A11">
        <v>35</v>
      </c>
      <c r="B11">
        <v>68634038420</v>
      </c>
      <c r="C11" t="s">
        <v>290</v>
      </c>
      <c r="D11">
        <v>686340151739</v>
      </c>
      <c r="E11" t="s">
        <v>291</v>
      </c>
      <c r="F11" t="s">
        <v>36</v>
      </c>
      <c r="G11" t="s">
        <v>48</v>
      </c>
      <c r="H11">
        <f t="shared" si="0"/>
        <v>-1</v>
      </c>
      <c r="I11">
        <v>420.9</v>
      </c>
      <c r="J11" t="str">
        <f t="shared" si="1"/>
        <v>Incorrect</v>
      </c>
      <c r="K11">
        <f t="shared" si="2"/>
        <v>1</v>
      </c>
      <c r="L11">
        <v>35</v>
      </c>
      <c r="M11">
        <v>35</v>
      </c>
      <c r="N11">
        <v>35</v>
      </c>
      <c r="O11" t="s">
        <v>292</v>
      </c>
    </row>
    <row r="12" spans="1:15" x14ac:dyDescent="0.3">
      <c r="A12">
        <v>36</v>
      </c>
      <c r="B12">
        <v>68634038421</v>
      </c>
      <c r="C12" t="s">
        <v>293</v>
      </c>
      <c r="D12">
        <v>686340151742</v>
      </c>
      <c r="E12" t="s">
        <v>294</v>
      </c>
      <c r="F12" t="s">
        <v>48</v>
      </c>
      <c r="G12" t="s">
        <v>48</v>
      </c>
      <c r="H12">
        <f t="shared" si="0"/>
        <v>-1</v>
      </c>
      <c r="I12">
        <v>32.700000000000003</v>
      </c>
      <c r="J12" t="str">
        <f t="shared" si="1"/>
        <v>Incorrect</v>
      </c>
      <c r="K12">
        <f t="shared" si="2"/>
        <v>1</v>
      </c>
      <c r="L12">
        <v>36</v>
      </c>
      <c r="N12">
        <v>36</v>
      </c>
      <c r="O12" t="s">
        <v>295</v>
      </c>
    </row>
    <row r="13" spans="1:15" x14ac:dyDescent="0.3">
      <c r="A13">
        <v>37</v>
      </c>
      <c r="B13">
        <v>68634038422</v>
      </c>
      <c r="C13" t="s">
        <v>296</v>
      </c>
      <c r="D13">
        <v>686340151746</v>
      </c>
      <c r="E13" t="s">
        <v>297</v>
      </c>
      <c r="F13" t="s">
        <v>48</v>
      </c>
      <c r="G13" t="s">
        <v>48</v>
      </c>
      <c r="H13">
        <f t="shared" si="0"/>
        <v>-1</v>
      </c>
      <c r="I13">
        <v>40.4</v>
      </c>
      <c r="J13" t="str">
        <f t="shared" si="1"/>
        <v>Incorrect</v>
      </c>
      <c r="K13">
        <f t="shared" si="2"/>
        <v>1</v>
      </c>
      <c r="L13">
        <v>37</v>
      </c>
    </row>
    <row r="14" spans="1:15" x14ac:dyDescent="0.3">
      <c r="A14">
        <v>38</v>
      </c>
      <c r="B14">
        <v>68634038423</v>
      </c>
      <c r="C14" t="s">
        <v>298</v>
      </c>
      <c r="D14">
        <v>686340151751</v>
      </c>
      <c r="E14" t="s">
        <v>299</v>
      </c>
      <c r="F14" t="s">
        <v>36</v>
      </c>
      <c r="G14" t="s">
        <v>36</v>
      </c>
      <c r="H14">
        <f t="shared" si="0"/>
        <v>-1</v>
      </c>
      <c r="I14">
        <v>124.9</v>
      </c>
      <c r="J14" t="str">
        <f t="shared" si="1"/>
        <v>Incorrect</v>
      </c>
      <c r="K14">
        <f t="shared" si="2"/>
        <v>1</v>
      </c>
      <c r="L14">
        <v>38</v>
      </c>
      <c r="N14">
        <v>38</v>
      </c>
      <c r="O14" t="s">
        <v>300</v>
      </c>
    </row>
    <row r="15" spans="1:15" x14ac:dyDescent="0.3">
      <c r="A15">
        <v>39</v>
      </c>
      <c r="B15">
        <v>68634038424</v>
      </c>
      <c r="C15" t="s">
        <v>301</v>
      </c>
      <c r="D15">
        <v>686340151755</v>
      </c>
      <c r="E15" t="s">
        <v>302</v>
      </c>
      <c r="F15" t="s">
        <v>36</v>
      </c>
      <c r="G15" t="s">
        <v>36</v>
      </c>
      <c r="H15">
        <f t="shared" si="0"/>
        <v>-1</v>
      </c>
      <c r="I15">
        <v>49.5</v>
      </c>
      <c r="J15" t="str">
        <f t="shared" si="1"/>
        <v>Incorrect</v>
      </c>
      <c r="K15">
        <f t="shared" si="2"/>
        <v>1</v>
      </c>
      <c r="L15">
        <v>39</v>
      </c>
    </row>
    <row r="16" spans="1:15" x14ac:dyDescent="0.3">
      <c r="A16">
        <v>40</v>
      </c>
      <c r="B16">
        <v>68634038425</v>
      </c>
      <c r="C16" t="s">
        <v>303</v>
      </c>
      <c r="D16">
        <v>686340151759</v>
      </c>
      <c r="E16" t="s">
        <v>304</v>
      </c>
      <c r="F16" t="s">
        <v>36</v>
      </c>
      <c r="G16" t="s">
        <v>36</v>
      </c>
      <c r="H16">
        <f t="shared" si="0"/>
        <v>-1</v>
      </c>
      <c r="I16">
        <v>59</v>
      </c>
      <c r="J16" t="str">
        <f t="shared" si="1"/>
        <v>Incorrect</v>
      </c>
      <c r="K16">
        <f t="shared" si="2"/>
        <v>1</v>
      </c>
      <c r="L16">
        <v>40</v>
      </c>
    </row>
    <row r="17" spans="1:15" x14ac:dyDescent="0.3">
      <c r="A17">
        <v>41</v>
      </c>
      <c r="B17">
        <v>68634038426</v>
      </c>
      <c r="C17" t="s">
        <v>305</v>
      </c>
      <c r="D17">
        <v>686340151763</v>
      </c>
      <c r="E17" t="s">
        <v>306</v>
      </c>
      <c r="F17" t="s">
        <v>36</v>
      </c>
      <c r="G17" t="s">
        <v>29</v>
      </c>
      <c r="H17">
        <f t="shared" si="0"/>
        <v>-1</v>
      </c>
      <c r="I17">
        <v>107.1</v>
      </c>
      <c r="J17" t="str">
        <f t="shared" si="1"/>
        <v>Incorrect</v>
      </c>
      <c r="K17">
        <f t="shared" si="2"/>
        <v>1</v>
      </c>
      <c r="L17">
        <v>41</v>
      </c>
      <c r="M17">
        <v>41</v>
      </c>
      <c r="N17">
        <v>41</v>
      </c>
      <c r="O17" t="s">
        <v>307</v>
      </c>
    </row>
    <row r="18" spans="1:15" x14ac:dyDescent="0.3">
      <c r="A18">
        <v>42</v>
      </c>
      <c r="B18">
        <v>68634038427</v>
      </c>
      <c r="C18" t="s">
        <v>308</v>
      </c>
      <c r="D18">
        <v>686340151767</v>
      </c>
      <c r="E18" t="s">
        <v>66</v>
      </c>
      <c r="F18" t="s">
        <v>36</v>
      </c>
      <c r="G18" t="s">
        <v>36</v>
      </c>
      <c r="H18">
        <f t="shared" si="0"/>
        <v>-1</v>
      </c>
      <c r="I18">
        <v>29.6</v>
      </c>
      <c r="J18" t="str">
        <f t="shared" si="1"/>
        <v>Incorrect</v>
      </c>
      <c r="K18">
        <f t="shared" si="2"/>
        <v>1</v>
      </c>
      <c r="L18">
        <v>42</v>
      </c>
    </row>
    <row r="19" spans="1:15" x14ac:dyDescent="0.3">
      <c r="A19">
        <v>43</v>
      </c>
      <c r="B19">
        <v>68634038428</v>
      </c>
      <c r="C19" t="s">
        <v>309</v>
      </c>
      <c r="D19">
        <v>686340151770</v>
      </c>
      <c r="E19" t="s">
        <v>310</v>
      </c>
      <c r="F19" t="s">
        <v>48</v>
      </c>
      <c r="G19" t="s">
        <v>48</v>
      </c>
      <c r="H19">
        <f t="shared" si="0"/>
        <v>-1</v>
      </c>
      <c r="I19">
        <v>23.4</v>
      </c>
      <c r="J19" t="str">
        <f t="shared" si="1"/>
        <v>Incorrect</v>
      </c>
      <c r="K19">
        <f t="shared" si="2"/>
        <v>1</v>
      </c>
      <c r="L19">
        <v>43</v>
      </c>
    </row>
    <row r="20" spans="1:15" x14ac:dyDescent="0.3">
      <c r="A20">
        <v>44</v>
      </c>
      <c r="B20">
        <v>68634038429</v>
      </c>
      <c r="C20" t="s">
        <v>311</v>
      </c>
      <c r="D20">
        <v>686340151775</v>
      </c>
      <c r="E20" t="s">
        <v>312</v>
      </c>
      <c r="F20" t="s">
        <v>36</v>
      </c>
      <c r="G20" t="s">
        <v>36</v>
      </c>
      <c r="H20">
        <f t="shared" si="0"/>
        <v>-1</v>
      </c>
      <c r="I20">
        <v>43.7</v>
      </c>
      <c r="J20" t="str">
        <f t="shared" si="1"/>
        <v>Incorrect</v>
      </c>
      <c r="K20">
        <f t="shared" si="2"/>
        <v>1</v>
      </c>
      <c r="L20">
        <v>44</v>
      </c>
    </row>
    <row r="21" spans="1:15" x14ac:dyDescent="0.3">
      <c r="A21">
        <v>45</v>
      </c>
      <c r="B21">
        <v>68634038430</v>
      </c>
      <c r="C21" t="s">
        <v>313</v>
      </c>
      <c r="D21">
        <v>686340151779</v>
      </c>
      <c r="E21" t="s">
        <v>314</v>
      </c>
      <c r="F21" t="s">
        <v>36</v>
      </c>
      <c r="G21" t="s">
        <v>36</v>
      </c>
      <c r="H21">
        <f t="shared" si="0"/>
        <v>-1</v>
      </c>
      <c r="I21">
        <v>109.7</v>
      </c>
      <c r="J21" t="str">
        <f t="shared" si="1"/>
        <v>Incorrect</v>
      </c>
      <c r="K21">
        <f t="shared" si="2"/>
        <v>1</v>
      </c>
      <c r="L21">
        <v>45</v>
      </c>
    </row>
    <row r="22" spans="1:15" x14ac:dyDescent="0.3">
      <c r="A22">
        <v>46</v>
      </c>
      <c r="B22">
        <v>68634038431</v>
      </c>
      <c r="C22" t="s">
        <v>315</v>
      </c>
      <c r="D22">
        <v>686340151782</v>
      </c>
      <c r="E22" t="s">
        <v>316</v>
      </c>
      <c r="F22" t="s">
        <v>48</v>
      </c>
      <c r="G22" t="s">
        <v>29</v>
      </c>
      <c r="H22">
        <f t="shared" si="0"/>
        <v>-1</v>
      </c>
      <c r="I22">
        <v>108.9</v>
      </c>
      <c r="J22" t="str">
        <f t="shared" si="1"/>
        <v>Incorrect</v>
      </c>
      <c r="K22">
        <f t="shared" si="2"/>
        <v>1</v>
      </c>
      <c r="L22">
        <v>46</v>
      </c>
      <c r="M22">
        <v>46</v>
      </c>
      <c r="O22" t="s">
        <v>317</v>
      </c>
    </row>
    <row r="23" spans="1:15" x14ac:dyDescent="0.3">
      <c r="A23">
        <v>47</v>
      </c>
      <c r="B23">
        <v>68634038432</v>
      </c>
      <c r="C23" t="s">
        <v>318</v>
      </c>
      <c r="D23">
        <v>686340151786</v>
      </c>
      <c r="E23" t="s">
        <v>319</v>
      </c>
      <c r="F23" t="s">
        <v>48</v>
      </c>
      <c r="G23" t="s">
        <v>48</v>
      </c>
      <c r="H23">
        <f t="shared" si="0"/>
        <v>-1</v>
      </c>
      <c r="I23">
        <v>72.5</v>
      </c>
      <c r="J23" t="str">
        <f t="shared" si="1"/>
        <v>Incorrect</v>
      </c>
      <c r="K23">
        <f t="shared" si="2"/>
        <v>1</v>
      </c>
      <c r="L23">
        <v>47</v>
      </c>
    </row>
    <row r="24" spans="1:15" x14ac:dyDescent="0.3">
      <c r="A24">
        <v>48</v>
      </c>
      <c r="B24">
        <v>68634038433</v>
      </c>
      <c r="C24" t="s">
        <v>320</v>
      </c>
      <c r="D24">
        <v>686340151790</v>
      </c>
      <c r="E24" t="s">
        <v>321</v>
      </c>
      <c r="F24" t="s">
        <v>48</v>
      </c>
      <c r="G24" t="s">
        <v>29</v>
      </c>
      <c r="H24">
        <f t="shared" si="0"/>
        <v>-1</v>
      </c>
      <c r="I24">
        <v>53</v>
      </c>
      <c r="J24" t="str">
        <f t="shared" si="1"/>
        <v>Incorrect</v>
      </c>
      <c r="K24">
        <f t="shared" si="2"/>
        <v>1</v>
      </c>
      <c r="L24">
        <v>48</v>
      </c>
      <c r="M24">
        <v>48</v>
      </c>
      <c r="N24">
        <v>48</v>
      </c>
      <c r="O24" t="s">
        <v>322</v>
      </c>
    </row>
    <row r="25" spans="1:15" x14ac:dyDescent="0.3">
      <c r="A25">
        <v>49</v>
      </c>
      <c r="B25">
        <v>68634038434</v>
      </c>
      <c r="C25" t="s">
        <v>323</v>
      </c>
      <c r="D25">
        <v>686340151794</v>
      </c>
      <c r="E25" t="s">
        <v>324</v>
      </c>
      <c r="F25" t="s">
        <v>48</v>
      </c>
      <c r="G25" t="s">
        <v>48</v>
      </c>
      <c r="H25">
        <f t="shared" si="0"/>
        <v>-1</v>
      </c>
      <c r="I25">
        <v>155</v>
      </c>
      <c r="J25" t="str">
        <f t="shared" si="1"/>
        <v>Incorrect</v>
      </c>
      <c r="K25">
        <f t="shared" si="2"/>
        <v>1</v>
      </c>
      <c r="L25">
        <v>49</v>
      </c>
    </row>
    <row r="26" spans="1:15" x14ac:dyDescent="0.3">
      <c r="A26">
        <v>50</v>
      </c>
      <c r="B26">
        <v>68634038435</v>
      </c>
      <c r="C26" t="s">
        <v>325</v>
      </c>
      <c r="D26">
        <v>686340151798</v>
      </c>
      <c r="E26" t="s">
        <v>326</v>
      </c>
      <c r="F26" t="s">
        <v>48</v>
      </c>
      <c r="G26" t="s">
        <v>48</v>
      </c>
      <c r="H26">
        <f t="shared" si="0"/>
        <v>-1</v>
      </c>
      <c r="I26">
        <v>63.8</v>
      </c>
      <c r="J26" t="str">
        <f t="shared" si="1"/>
        <v>Incorrect</v>
      </c>
      <c r="K26">
        <f t="shared" si="2"/>
        <v>1</v>
      </c>
      <c r="L26">
        <v>50</v>
      </c>
      <c r="N26">
        <v>50</v>
      </c>
      <c r="O26" t="s">
        <v>327</v>
      </c>
    </row>
    <row r="27" spans="1:15" x14ac:dyDescent="0.3">
      <c r="A27">
        <v>51</v>
      </c>
      <c r="B27">
        <v>68634038436</v>
      </c>
      <c r="C27" t="s">
        <v>328</v>
      </c>
      <c r="D27">
        <v>686340151803</v>
      </c>
      <c r="E27" t="s">
        <v>329</v>
      </c>
      <c r="F27" t="s">
        <v>36</v>
      </c>
      <c r="G27" t="s">
        <v>36</v>
      </c>
      <c r="H27">
        <f t="shared" si="0"/>
        <v>-1</v>
      </c>
      <c r="I27">
        <v>192</v>
      </c>
      <c r="J27" t="str">
        <f t="shared" si="1"/>
        <v>Incorrect</v>
      </c>
      <c r="K27">
        <f t="shared" si="2"/>
        <v>1</v>
      </c>
      <c r="L27">
        <v>51</v>
      </c>
      <c r="N27">
        <v>51</v>
      </c>
      <c r="O27" t="s">
        <v>330</v>
      </c>
    </row>
    <row r="28" spans="1:15" x14ac:dyDescent="0.3">
      <c r="A28">
        <v>52</v>
      </c>
      <c r="B28">
        <v>68634038437</v>
      </c>
      <c r="C28" t="s">
        <v>331</v>
      </c>
      <c r="D28">
        <v>686340151808</v>
      </c>
      <c r="E28" t="s">
        <v>332</v>
      </c>
      <c r="F28" t="s">
        <v>26</v>
      </c>
      <c r="G28" t="s">
        <v>26</v>
      </c>
      <c r="H28">
        <f t="shared" si="0"/>
        <v>-1</v>
      </c>
      <c r="I28">
        <v>39.299999999999997</v>
      </c>
      <c r="J28" t="str">
        <f t="shared" si="1"/>
        <v>Incorrect</v>
      </c>
      <c r="K28">
        <f t="shared" si="2"/>
        <v>1</v>
      </c>
      <c r="L28">
        <v>52</v>
      </c>
    </row>
    <row r="29" spans="1:15" x14ac:dyDescent="0.3">
      <c r="A29">
        <v>53</v>
      </c>
      <c r="B29">
        <v>68634038438</v>
      </c>
      <c r="C29" t="s">
        <v>333</v>
      </c>
      <c r="D29">
        <v>686340151809</v>
      </c>
      <c r="E29" t="s">
        <v>334</v>
      </c>
      <c r="F29" t="s">
        <v>29</v>
      </c>
      <c r="G29" t="s">
        <v>29</v>
      </c>
      <c r="H29">
        <f t="shared" si="0"/>
        <v>-1</v>
      </c>
      <c r="I29">
        <v>80</v>
      </c>
      <c r="J29" t="str">
        <f t="shared" si="1"/>
        <v>Incorrect</v>
      </c>
      <c r="K29">
        <f t="shared" si="2"/>
        <v>1</v>
      </c>
      <c r="L29">
        <v>53</v>
      </c>
    </row>
    <row r="30" spans="1:15" x14ac:dyDescent="0.3">
      <c r="A30">
        <v>54</v>
      </c>
      <c r="B30">
        <v>68634038439</v>
      </c>
      <c r="C30" t="s">
        <v>335</v>
      </c>
      <c r="D30">
        <v>686340151816</v>
      </c>
      <c r="E30" t="s">
        <v>336</v>
      </c>
      <c r="F30" t="s">
        <v>26</v>
      </c>
      <c r="G30" t="s">
        <v>26</v>
      </c>
      <c r="H30">
        <f t="shared" si="0"/>
        <v>-1</v>
      </c>
      <c r="I30">
        <v>82.6</v>
      </c>
      <c r="J30" t="str">
        <f t="shared" si="1"/>
        <v>Incorrect</v>
      </c>
      <c r="K30">
        <f t="shared" si="2"/>
        <v>1</v>
      </c>
      <c r="L30">
        <v>54</v>
      </c>
    </row>
    <row r="31" spans="1:15" x14ac:dyDescent="0.3">
      <c r="A31">
        <v>55</v>
      </c>
      <c r="B31">
        <v>68634038440</v>
      </c>
      <c r="C31" t="s">
        <v>337</v>
      </c>
      <c r="D31">
        <v>686340151818</v>
      </c>
      <c r="E31" t="s">
        <v>338</v>
      </c>
      <c r="F31" t="s">
        <v>48</v>
      </c>
      <c r="G31" t="s">
        <v>29</v>
      </c>
      <c r="H31">
        <f t="shared" si="0"/>
        <v>-1</v>
      </c>
      <c r="I31">
        <v>53.3</v>
      </c>
      <c r="J31" t="str">
        <f t="shared" si="1"/>
        <v>Incorrect</v>
      </c>
      <c r="K31">
        <f t="shared" si="2"/>
        <v>1</v>
      </c>
      <c r="L31">
        <v>55</v>
      </c>
      <c r="M31">
        <v>55</v>
      </c>
      <c r="N31">
        <v>55</v>
      </c>
      <c r="O31" t="s">
        <v>339</v>
      </c>
    </row>
    <row r="32" spans="1:15" x14ac:dyDescent="0.3">
      <c r="A32">
        <v>56</v>
      </c>
      <c r="B32">
        <v>68634038441</v>
      </c>
      <c r="C32" t="s">
        <v>340</v>
      </c>
      <c r="D32">
        <v>686340151822</v>
      </c>
      <c r="E32" t="s">
        <v>341</v>
      </c>
      <c r="F32" t="s">
        <v>48</v>
      </c>
      <c r="G32" t="s">
        <v>48</v>
      </c>
      <c r="H32">
        <f t="shared" si="0"/>
        <v>-1</v>
      </c>
      <c r="I32">
        <v>16.2</v>
      </c>
      <c r="J32" t="str">
        <f t="shared" si="1"/>
        <v>Incorrect</v>
      </c>
      <c r="K32">
        <f t="shared" si="2"/>
        <v>1</v>
      </c>
      <c r="L32">
        <v>56</v>
      </c>
    </row>
    <row r="33" spans="1:15" x14ac:dyDescent="0.3">
      <c r="A33">
        <v>57</v>
      </c>
      <c r="B33">
        <v>68634038442</v>
      </c>
      <c r="C33" t="s">
        <v>342</v>
      </c>
      <c r="D33">
        <v>686340151826</v>
      </c>
      <c r="E33" t="s">
        <v>343</v>
      </c>
      <c r="F33" t="s">
        <v>48</v>
      </c>
      <c r="G33" t="s">
        <v>48</v>
      </c>
      <c r="H33">
        <f t="shared" si="0"/>
        <v>-1</v>
      </c>
      <c r="I33">
        <v>181.4</v>
      </c>
      <c r="J33" t="str">
        <f t="shared" si="1"/>
        <v>Incorrect</v>
      </c>
      <c r="K33">
        <f t="shared" si="2"/>
        <v>1</v>
      </c>
      <c r="L33">
        <v>57</v>
      </c>
    </row>
    <row r="34" spans="1:15" x14ac:dyDescent="0.3">
      <c r="A34">
        <v>58</v>
      </c>
      <c r="B34">
        <v>68634038443</v>
      </c>
      <c r="C34" t="s">
        <v>344</v>
      </c>
      <c r="D34">
        <v>686340151829</v>
      </c>
      <c r="E34" t="s">
        <v>345</v>
      </c>
      <c r="F34" t="s">
        <v>29</v>
      </c>
      <c r="G34" t="s">
        <v>29</v>
      </c>
      <c r="H34">
        <f t="shared" ref="H34:H65" si="3">IF(J34="Correct", 4, IF(J34="Incorrect", -1, 0))</f>
        <v>-1</v>
      </c>
      <c r="I34">
        <v>52.8</v>
      </c>
      <c r="J34" t="str">
        <f t="shared" ref="J34:J65" si="4">IF(OR(ISBLANK(G34), G34="Not Attempted", G34=""), "Unattempted", IF(G34=E34, "Correct", "Incorrect"))</f>
        <v>Incorrect</v>
      </c>
      <c r="K34">
        <f t="shared" ref="K34:K65" si="5">IF(J34="Incorrect", 1, 0)</f>
        <v>1</v>
      </c>
      <c r="L34">
        <v>58</v>
      </c>
      <c r="N34">
        <v>58</v>
      </c>
      <c r="O34" t="s">
        <v>346</v>
      </c>
    </row>
    <row r="35" spans="1:15" x14ac:dyDescent="0.3">
      <c r="A35">
        <v>59</v>
      </c>
      <c r="B35">
        <v>68634038444</v>
      </c>
      <c r="C35" t="s">
        <v>347</v>
      </c>
      <c r="D35">
        <v>686340151835</v>
      </c>
      <c r="E35" t="s">
        <v>66</v>
      </c>
      <c r="F35" t="s">
        <v>36</v>
      </c>
      <c r="G35" t="s">
        <v>29</v>
      </c>
      <c r="H35">
        <f t="shared" si="3"/>
        <v>-1</v>
      </c>
      <c r="I35">
        <v>59.9</v>
      </c>
      <c r="J35" t="str">
        <f t="shared" si="4"/>
        <v>Incorrect</v>
      </c>
      <c r="K35">
        <f t="shared" si="5"/>
        <v>1</v>
      </c>
      <c r="L35">
        <v>59</v>
      </c>
      <c r="M35">
        <v>59</v>
      </c>
      <c r="O35" t="s">
        <v>348</v>
      </c>
    </row>
    <row r="36" spans="1:15" x14ac:dyDescent="0.3">
      <c r="A36">
        <v>60</v>
      </c>
      <c r="B36">
        <v>68634038445</v>
      </c>
      <c r="C36" t="s">
        <v>349</v>
      </c>
      <c r="D36">
        <v>686340151837</v>
      </c>
      <c r="E36" t="s">
        <v>350</v>
      </c>
      <c r="F36" t="s">
        <v>29</v>
      </c>
      <c r="G36" t="s">
        <v>26</v>
      </c>
      <c r="H36">
        <f t="shared" si="3"/>
        <v>-1</v>
      </c>
      <c r="I36">
        <v>130.5</v>
      </c>
      <c r="J36" t="str">
        <f t="shared" si="4"/>
        <v>Incorrect</v>
      </c>
      <c r="K36">
        <f t="shared" si="5"/>
        <v>1</v>
      </c>
      <c r="L36">
        <v>60</v>
      </c>
      <c r="M36">
        <v>60</v>
      </c>
      <c r="O36" t="s">
        <v>351</v>
      </c>
    </row>
    <row r="37" spans="1:15" x14ac:dyDescent="0.3">
      <c r="A37">
        <v>61</v>
      </c>
      <c r="B37">
        <v>68634038446</v>
      </c>
      <c r="C37" t="s">
        <v>352</v>
      </c>
      <c r="D37">
        <v>686340151844</v>
      </c>
      <c r="E37" t="s">
        <v>353</v>
      </c>
      <c r="F37" t="s">
        <v>26</v>
      </c>
      <c r="G37" t="s">
        <v>26</v>
      </c>
      <c r="H37">
        <f t="shared" si="3"/>
        <v>-1</v>
      </c>
      <c r="I37">
        <v>40.5</v>
      </c>
      <c r="J37" t="str">
        <f t="shared" si="4"/>
        <v>Incorrect</v>
      </c>
      <c r="K37">
        <f t="shared" si="5"/>
        <v>1</v>
      </c>
      <c r="L37">
        <v>61</v>
      </c>
    </row>
    <row r="38" spans="1:15" x14ac:dyDescent="0.3">
      <c r="A38">
        <v>62</v>
      </c>
      <c r="B38">
        <v>68634038447</v>
      </c>
      <c r="C38" t="s">
        <v>354</v>
      </c>
      <c r="D38">
        <v>686340151847</v>
      </c>
      <c r="E38" t="s">
        <v>355</v>
      </c>
      <c r="F38" t="s">
        <v>36</v>
      </c>
      <c r="G38" t="s">
        <v>36</v>
      </c>
      <c r="H38">
        <f t="shared" si="3"/>
        <v>-1</v>
      </c>
      <c r="I38">
        <v>121.7</v>
      </c>
      <c r="J38" t="str">
        <f t="shared" si="4"/>
        <v>Incorrect</v>
      </c>
      <c r="K38">
        <f t="shared" si="5"/>
        <v>1</v>
      </c>
      <c r="L38">
        <v>62</v>
      </c>
      <c r="N38">
        <v>62</v>
      </c>
      <c r="O38" t="s">
        <v>356</v>
      </c>
    </row>
    <row r="39" spans="1:15" x14ac:dyDescent="0.3">
      <c r="A39">
        <v>63</v>
      </c>
      <c r="B39">
        <v>68634038448</v>
      </c>
      <c r="C39" t="s">
        <v>357</v>
      </c>
      <c r="D39">
        <v>686340151851</v>
      </c>
      <c r="E39" t="s">
        <v>358</v>
      </c>
      <c r="F39" t="s">
        <v>36</v>
      </c>
      <c r="G39" t="s">
        <v>36</v>
      </c>
      <c r="H39">
        <f t="shared" si="3"/>
        <v>-1</v>
      </c>
      <c r="I39">
        <v>94.6</v>
      </c>
      <c r="J39" t="str">
        <f t="shared" si="4"/>
        <v>Incorrect</v>
      </c>
      <c r="K39">
        <f t="shared" si="5"/>
        <v>1</v>
      </c>
      <c r="L39">
        <v>63</v>
      </c>
    </row>
    <row r="40" spans="1:15" x14ac:dyDescent="0.3">
      <c r="A40">
        <v>64</v>
      </c>
      <c r="B40">
        <v>68634038449</v>
      </c>
      <c r="C40" t="s">
        <v>359</v>
      </c>
      <c r="D40">
        <v>686340151853</v>
      </c>
      <c r="E40" t="s">
        <v>360</v>
      </c>
      <c r="F40" t="s">
        <v>29</v>
      </c>
      <c r="G40" t="s">
        <v>29</v>
      </c>
      <c r="H40">
        <f t="shared" si="3"/>
        <v>-1</v>
      </c>
      <c r="I40">
        <v>92.1</v>
      </c>
      <c r="J40" t="str">
        <f t="shared" si="4"/>
        <v>Incorrect</v>
      </c>
      <c r="K40">
        <f t="shared" si="5"/>
        <v>1</v>
      </c>
      <c r="L40">
        <v>64</v>
      </c>
    </row>
    <row r="41" spans="1:15" x14ac:dyDescent="0.3">
      <c r="A41">
        <v>65</v>
      </c>
      <c r="B41">
        <v>68634038450</v>
      </c>
      <c r="C41" t="s">
        <v>361</v>
      </c>
      <c r="D41">
        <v>686340151859</v>
      </c>
      <c r="E41" t="s">
        <v>362</v>
      </c>
      <c r="F41" t="s">
        <v>36</v>
      </c>
      <c r="G41" t="s">
        <v>36</v>
      </c>
      <c r="H41">
        <f t="shared" si="3"/>
        <v>-1</v>
      </c>
      <c r="I41">
        <v>109.1</v>
      </c>
      <c r="J41" t="str">
        <f t="shared" si="4"/>
        <v>Incorrect</v>
      </c>
      <c r="K41">
        <f t="shared" si="5"/>
        <v>1</v>
      </c>
      <c r="L41">
        <v>65</v>
      </c>
      <c r="N41">
        <v>65</v>
      </c>
      <c r="O41" t="s">
        <v>363</v>
      </c>
    </row>
    <row r="42" spans="1:15" x14ac:dyDescent="0.3">
      <c r="A42">
        <v>66</v>
      </c>
      <c r="B42">
        <v>68634038451</v>
      </c>
      <c r="C42" t="s">
        <v>364</v>
      </c>
      <c r="D42">
        <v>686340151861</v>
      </c>
      <c r="E42" t="s">
        <v>365</v>
      </c>
      <c r="F42" t="s">
        <v>29</v>
      </c>
      <c r="G42" t="s">
        <v>29</v>
      </c>
      <c r="H42">
        <f t="shared" si="3"/>
        <v>-1</v>
      </c>
      <c r="I42">
        <v>71.3</v>
      </c>
      <c r="J42" t="str">
        <f t="shared" si="4"/>
        <v>Incorrect</v>
      </c>
      <c r="K42">
        <f t="shared" si="5"/>
        <v>1</v>
      </c>
      <c r="L42">
        <v>66</v>
      </c>
    </row>
    <row r="43" spans="1:15" x14ac:dyDescent="0.3">
      <c r="A43">
        <v>67</v>
      </c>
      <c r="B43">
        <v>68634038452</v>
      </c>
      <c r="C43" t="s">
        <v>366</v>
      </c>
      <c r="D43">
        <v>686340151866</v>
      </c>
      <c r="E43" t="s">
        <v>367</v>
      </c>
      <c r="F43" t="s">
        <v>48</v>
      </c>
      <c r="G43" t="s">
        <v>48</v>
      </c>
      <c r="H43">
        <f t="shared" si="3"/>
        <v>-1</v>
      </c>
      <c r="I43">
        <v>68.099999999999994</v>
      </c>
      <c r="J43" t="str">
        <f t="shared" si="4"/>
        <v>Incorrect</v>
      </c>
      <c r="K43">
        <f t="shared" si="5"/>
        <v>1</v>
      </c>
      <c r="L43">
        <v>67</v>
      </c>
    </row>
    <row r="44" spans="1:15" x14ac:dyDescent="0.3">
      <c r="A44">
        <v>68</v>
      </c>
      <c r="B44">
        <v>68634038453</v>
      </c>
      <c r="C44" t="s">
        <v>368</v>
      </c>
      <c r="D44">
        <v>686340151870</v>
      </c>
      <c r="E44" t="s">
        <v>369</v>
      </c>
      <c r="F44" t="s">
        <v>48</v>
      </c>
      <c r="G44" t="s">
        <v>48</v>
      </c>
      <c r="H44">
        <f t="shared" si="3"/>
        <v>-1</v>
      </c>
      <c r="I44">
        <v>41.1</v>
      </c>
      <c r="J44" t="str">
        <f t="shared" si="4"/>
        <v>Incorrect</v>
      </c>
      <c r="K44">
        <f t="shared" si="5"/>
        <v>1</v>
      </c>
      <c r="L44">
        <v>68</v>
      </c>
    </row>
    <row r="45" spans="1:15" x14ac:dyDescent="0.3">
      <c r="A45">
        <v>69</v>
      </c>
      <c r="B45">
        <v>68634038454</v>
      </c>
      <c r="C45" t="s">
        <v>370</v>
      </c>
      <c r="D45">
        <v>686340151873</v>
      </c>
      <c r="E45" t="s">
        <v>371</v>
      </c>
      <c r="F45" t="s">
        <v>29</v>
      </c>
      <c r="G45" t="s">
        <v>29</v>
      </c>
      <c r="H45">
        <f t="shared" si="3"/>
        <v>-1</v>
      </c>
      <c r="I45">
        <v>32.4</v>
      </c>
      <c r="J45" t="str">
        <f t="shared" si="4"/>
        <v>Incorrect</v>
      </c>
      <c r="K45">
        <f t="shared" si="5"/>
        <v>1</v>
      </c>
      <c r="L45">
        <v>69</v>
      </c>
    </row>
    <row r="46" spans="1:15" x14ac:dyDescent="0.3">
      <c r="A46">
        <v>70</v>
      </c>
      <c r="B46">
        <v>68634038455</v>
      </c>
      <c r="C46" t="s">
        <v>372</v>
      </c>
      <c r="D46">
        <v>686340151880</v>
      </c>
      <c r="E46" t="s">
        <v>373</v>
      </c>
      <c r="F46" t="s">
        <v>26</v>
      </c>
      <c r="G46" t="s">
        <v>26</v>
      </c>
      <c r="H46">
        <f t="shared" si="3"/>
        <v>-1</v>
      </c>
      <c r="I46">
        <v>34.6</v>
      </c>
      <c r="J46" t="str">
        <f t="shared" si="4"/>
        <v>Incorrect</v>
      </c>
      <c r="K46">
        <f t="shared" si="5"/>
        <v>1</v>
      </c>
      <c r="L46">
        <v>70</v>
      </c>
    </row>
    <row r="47" spans="1:15" x14ac:dyDescent="0.3">
      <c r="A47">
        <v>71</v>
      </c>
      <c r="B47">
        <v>68634038456</v>
      </c>
      <c r="C47" t="s">
        <v>374</v>
      </c>
      <c r="D47">
        <v>686340151881</v>
      </c>
      <c r="E47" t="s">
        <v>375</v>
      </c>
      <c r="F47" t="s">
        <v>29</v>
      </c>
      <c r="G47" t="s">
        <v>29</v>
      </c>
      <c r="H47">
        <f t="shared" si="3"/>
        <v>-1</v>
      </c>
      <c r="I47">
        <v>19.8</v>
      </c>
      <c r="J47" t="str">
        <f t="shared" si="4"/>
        <v>Incorrect</v>
      </c>
      <c r="K47">
        <f t="shared" si="5"/>
        <v>1</v>
      </c>
      <c r="L47">
        <v>71</v>
      </c>
    </row>
    <row r="48" spans="1:15" x14ac:dyDescent="0.3">
      <c r="A48">
        <v>72</v>
      </c>
      <c r="B48">
        <v>68634038457</v>
      </c>
      <c r="C48" t="s">
        <v>376</v>
      </c>
      <c r="D48">
        <v>686340151886</v>
      </c>
      <c r="E48" t="s">
        <v>377</v>
      </c>
      <c r="F48" t="s">
        <v>48</v>
      </c>
      <c r="G48" t="s">
        <v>48</v>
      </c>
      <c r="H48">
        <f t="shared" si="3"/>
        <v>-1</v>
      </c>
      <c r="I48">
        <v>47.4</v>
      </c>
      <c r="J48" t="str">
        <f t="shared" si="4"/>
        <v>Incorrect</v>
      </c>
      <c r="K48">
        <f t="shared" si="5"/>
        <v>1</v>
      </c>
      <c r="L48">
        <v>72</v>
      </c>
    </row>
    <row r="49" spans="1:15" x14ac:dyDescent="0.3">
      <c r="A49">
        <v>73</v>
      </c>
      <c r="B49">
        <v>68634038458</v>
      </c>
      <c r="C49" t="s">
        <v>378</v>
      </c>
      <c r="D49">
        <v>686340151889</v>
      </c>
      <c r="E49" t="s">
        <v>336</v>
      </c>
      <c r="F49" t="s">
        <v>29</v>
      </c>
      <c r="G49" t="s">
        <v>29</v>
      </c>
      <c r="H49">
        <f t="shared" si="3"/>
        <v>-1</v>
      </c>
      <c r="I49">
        <v>92.4</v>
      </c>
      <c r="J49" t="str">
        <f t="shared" si="4"/>
        <v>Incorrect</v>
      </c>
      <c r="K49">
        <f t="shared" si="5"/>
        <v>1</v>
      </c>
      <c r="L49">
        <v>73</v>
      </c>
      <c r="N49">
        <v>73</v>
      </c>
      <c r="O49" t="s">
        <v>379</v>
      </c>
    </row>
    <row r="50" spans="1:15" x14ac:dyDescent="0.3">
      <c r="A50">
        <v>74</v>
      </c>
      <c r="B50">
        <v>68634038459</v>
      </c>
      <c r="C50" t="s">
        <v>380</v>
      </c>
      <c r="D50">
        <v>686340151896</v>
      </c>
      <c r="E50" t="s">
        <v>381</v>
      </c>
      <c r="F50" t="s">
        <v>26</v>
      </c>
      <c r="G50" t="s">
        <v>26</v>
      </c>
      <c r="H50">
        <f t="shared" si="3"/>
        <v>-1</v>
      </c>
      <c r="I50">
        <v>108</v>
      </c>
      <c r="J50" t="str">
        <f t="shared" si="4"/>
        <v>Incorrect</v>
      </c>
      <c r="K50">
        <f t="shared" si="5"/>
        <v>1</v>
      </c>
      <c r="L50">
        <v>74</v>
      </c>
    </row>
    <row r="51" spans="1:15" x14ac:dyDescent="0.3">
      <c r="A51">
        <v>75</v>
      </c>
      <c r="B51">
        <v>68634038460</v>
      </c>
      <c r="C51" t="s">
        <v>382</v>
      </c>
      <c r="D51">
        <v>686340151898</v>
      </c>
      <c r="E51" t="s">
        <v>383</v>
      </c>
      <c r="F51" t="s">
        <v>48</v>
      </c>
      <c r="G51" t="s">
        <v>26</v>
      </c>
      <c r="H51">
        <f t="shared" si="3"/>
        <v>-1</v>
      </c>
      <c r="I51">
        <v>101.9</v>
      </c>
      <c r="J51" t="str">
        <f t="shared" si="4"/>
        <v>Incorrect</v>
      </c>
      <c r="K51">
        <f t="shared" si="5"/>
        <v>1</v>
      </c>
      <c r="L51">
        <v>75</v>
      </c>
      <c r="M51">
        <v>75</v>
      </c>
      <c r="N51">
        <v>75</v>
      </c>
      <c r="O51" t="s">
        <v>384</v>
      </c>
    </row>
    <row r="52" spans="1:15" x14ac:dyDescent="0.3">
      <c r="A52">
        <v>76</v>
      </c>
      <c r="B52">
        <v>68634038461</v>
      </c>
      <c r="C52" t="s">
        <v>385</v>
      </c>
      <c r="D52">
        <v>686340151902</v>
      </c>
      <c r="E52" t="s">
        <v>386</v>
      </c>
      <c r="F52" t="s">
        <v>48</v>
      </c>
      <c r="G52" t="s">
        <v>48</v>
      </c>
      <c r="H52">
        <f t="shared" si="3"/>
        <v>-1</v>
      </c>
      <c r="I52">
        <v>111.2</v>
      </c>
      <c r="J52" t="str">
        <f t="shared" si="4"/>
        <v>Incorrect</v>
      </c>
      <c r="K52">
        <f t="shared" si="5"/>
        <v>1</v>
      </c>
      <c r="L52">
        <v>76</v>
      </c>
    </row>
    <row r="53" spans="1:15" x14ac:dyDescent="0.3">
      <c r="A53">
        <v>77</v>
      </c>
      <c r="B53">
        <v>68634038462</v>
      </c>
      <c r="C53" t="s">
        <v>387</v>
      </c>
      <c r="D53">
        <v>686340151907</v>
      </c>
      <c r="E53" t="s">
        <v>388</v>
      </c>
      <c r="F53" t="s">
        <v>36</v>
      </c>
      <c r="G53" t="s">
        <v>36</v>
      </c>
      <c r="H53">
        <f t="shared" si="3"/>
        <v>-1</v>
      </c>
      <c r="I53">
        <v>55.5</v>
      </c>
      <c r="J53" t="str">
        <f t="shared" si="4"/>
        <v>Incorrect</v>
      </c>
      <c r="K53">
        <f t="shared" si="5"/>
        <v>1</v>
      </c>
      <c r="L53">
        <v>77</v>
      </c>
    </row>
    <row r="54" spans="1:15" x14ac:dyDescent="0.3">
      <c r="A54">
        <v>78</v>
      </c>
      <c r="B54">
        <v>68634038463</v>
      </c>
      <c r="C54" t="s">
        <v>389</v>
      </c>
      <c r="D54">
        <v>686340151912</v>
      </c>
      <c r="E54" t="s">
        <v>390</v>
      </c>
      <c r="F54" t="s">
        <v>26</v>
      </c>
      <c r="G54" t="s">
        <v>26</v>
      </c>
      <c r="H54">
        <f t="shared" si="3"/>
        <v>-1</v>
      </c>
      <c r="I54">
        <v>26.4</v>
      </c>
      <c r="J54" t="str">
        <f t="shared" si="4"/>
        <v>Incorrect</v>
      </c>
      <c r="K54">
        <f t="shared" si="5"/>
        <v>1</v>
      </c>
      <c r="L54">
        <v>78</v>
      </c>
    </row>
    <row r="55" spans="1:15" x14ac:dyDescent="0.3">
      <c r="A55">
        <v>79</v>
      </c>
      <c r="B55">
        <v>68634038464</v>
      </c>
      <c r="C55" t="s">
        <v>391</v>
      </c>
      <c r="D55">
        <v>686340151913</v>
      </c>
      <c r="E55" t="s">
        <v>392</v>
      </c>
      <c r="F55" t="s">
        <v>29</v>
      </c>
      <c r="G55" t="s">
        <v>29</v>
      </c>
      <c r="H55">
        <f t="shared" si="3"/>
        <v>-1</v>
      </c>
      <c r="I55">
        <v>19.600000000000001</v>
      </c>
      <c r="J55" t="str">
        <f t="shared" si="4"/>
        <v>Incorrect</v>
      </c>
      <c r="K55">
        <f t="shared" si="5"/>
        <v>1</v>
      </c>
      <c r="L55">
        <v>79</v>
      </c>
    </row>
    <row r="56" spans="1:15" x14ac:dyDescent="0.3">
      <c r="A56">
        <v>80</v>
      </c>
      <c r="B56">
        <v>68634038465</v>
      </c>
      <c r="C56" t="s">
        <v>393</v>
      </c>
      <c r="D56">
        <v>686340151918</v>
      </c>
      <c r="E56" t="s">
        <v>310</v>
      </c>
      <c r="F56" t="s">
        <v>48</v>
      </c>
      <c r="G56" t="s">
        <v>48</v>
      </c>
      <c r="H56">
        <f t="shared" si="3"/>
        <v>-1</v>
      </c>
      <c r="I56">
        <v>147.80000000000001</v>
      </c>
      <c r="J56" t="str">
        <f t="shared" si="4"/>
        <v>Incorrect</v>
      </c>
      <c r="K56">
        <f t="shared" si="5"/>
        <v>1</v>
      </c>
      <c r="L56">
        <v>80</v>
      </c>
      <c r="N56">
        <v>80</v>
      </c>
      <c r="O56" t="s">
        <v>394</v>
      </c>
    </row>
    <row r="57" spans="1:15" x14ac:dyDescent="0.3">
      <c r="A57">
        <v>81</v>
      </c>
      <c r="B57">
        <v>68634038466</v>
      </c>
      <c r="C57" t="s">
        <v>395</v>
      </c>
      <c r="D57">
        <v>686340151923</v>
      </c>
      <c r="E57" t="s">
        <v>396</v>
      </c>
      <c r="F57" t="s">
        <v>36</v>
      </c>
      <c r="G57" t="s">
        <v>26</v>
      </c>
      <c r="H57">
        <f t="shared" si="3"/>
        <v>-1</v>
      </c>
      <c r="I57">
        <v>93.4</v>
      </c>
      <c r="J57" t="str">
        <f t="shared" si="4"/>
        <v>Incorrect</v>
      </c>
      <c r="K57">
        <f t="shared" si="5"/>
        <v>1</v>
      </c>
      <c r="L57">
        <v>81</v>
      </c>
      <c r="M57">
        <v>81</v>
      </c>
      <c r="N57">
        <v>81</v>
      </c>
      <c r="O57" t="s">
        <v>397</v>
      </c>
    </row>
    <row r="58" spans="1:15" x14ac:dyDescent="0.3">
      <c r="A58">
        <v>82</v>
      </c>
      <c r="B58">
        <v>68634038467</v>
      </c>
      <c r="C58" t="s">
        <v>398</v>
      </c>
      <c r="D58">
        <v>686340151926</v>
      </c>
      <c r="E58" t="s">
        <v>399</v>
      </c>
      <c r="F58" t="s">
        <v>48</v>
      </c>
      <c r="G58" t="s">
        <v>48</v>
      </c>
      <c r="H58">
        <f t="shared" si="3"/>
        <v>-1</v>
      </c>
      <c r="I58">
        <v>89.8</v>
      </c>
      <c r="J58" t="str">
        <f t="shared" si="4"/>
        <v>Incorrect</v>
      </c>
      <c r="K58">
        <f t="shared" si="5"/>
        <v>1</v>
      </c>
      <c r="L58">
        <v>82</v>
      </c>
      <c r="N58">
        <v>82</v>
      </c>
      <c r="O58" t="s">
        <v>400</v>
      </c>
    </row>
    <row r="59" spans="1:15" x14ac:dyDescent="0.3">
      <c r="A59">
        <v>83</v>
      </c>
      <c r="B59">
        <v>68634038468</v>
      </c>
      <c r="C59" t="s">
        <v>401</v>
      </c>
      <c r="D59">
        <v>686340151931</v>
      </c>
      <c r="E59" t="s">
        <v>402</v>
      </c>
      <c r="F59" t="s">
        <v>36</v>
      </c>
      <c r="G59" t="s">
        <v>36</v>
      </c>
      <c r="H59">
        <f t="shared" si="3"/>
        <v>-1</v>
      </c>
      <c r="I59">
        <v>89</v>
      </c>
      <c r="J59" t="str">
        <f t="shared" si="4"/>
        <v>Incorrect</v>
      </c>
      <c r="K59">
        <f t="shared" si="5"/>
        <v>1</v>
      </c>
      <c r="L59">
        <v>83</v>
      </c>
    </row>
    <row r="60" spans="1:15" x14ac:dyDescent="0.3">
      <c r="A60">
        <v>84</v>
      </c>
      <c r="B60">
        <v>68634038469</v>
      </c>
      <c r="C60" t="s">
        <v>403</v>
      </c>
      <c r="D60">
        <v>686340151936</v>
      </c>
      <c r="E60" t="s">
        <v>404</v>
      </c>
      <c r="F60" t="s">
        <v>26</v>
      </c>
      <c r="G60" t="s">
        <v>26</v>
      </c>
      <c r="H60">
        <f t="shared" si="3"/>
        <v>-1</v>
      </c>
      <c r="I60">
        <v>48.7</v>
      </c>
      <c r="J60" t="str">
        <f t="shared" si="4"/>
        <v>Incorrect</v>
      </c>
      <c r="K60">
        <f t="shared" si="5"/>
        <v>1</v>
      </c>
      <c r="L60">
        <v>84</v>
      </c>
    </row>
    <row r="61" spans="1:15" x14ac:dyDescent="0.3">
      <c r="A61">
        <v>85</v>
      </c>
      <c r="B61">
        <v>68634038470</v>
      </c>
      <c r="C61" t="s">
        <v>405</v>
      </c>
      <c r="D61">
        <v>686340151939</v>
      </c>
      <c r="E61" t="s">
        <v>406</v>
      </c>
      <c r="F61" t="s">
        <v>36</v>
      </c>
      <c r="G61" t="s">
        <v>36</v>
      </c>
      <c r="H61">
        <f t="shared" si="3"/>
        <v>-1</v>
      </c>
      <c r="I61">
        <v>26.9</v>
      </c>
      <c r="J61" t="str">
        <f t="shared" si="4"/>
        <v>Incorrect</v>
      </c>
      <c r="K61">
        <f t="shared" si="5"/>
        <v>1</v>
      </c>
      <c r="L61">
        <v>85</v>
      </c>
    </row>
    <row r="62" spans="1:15" x14ac:dyDescent="0.3">
      <c r="A62">
        <v>86</v>
      </c>
      <c r="B62">
        <v>68634038471</v>
      </c>
      <c r="C62" t="s">
        <v>407</v>
      </c>
      <c r="D62">
        <v>686340151941</v>
      </c>
      <c r="E62" t="s">
        <v>408</v>
      </c>
      <c r="F62" t="s">
        <v>29</v>
      </c>
      <c r="G62" t="s">
        <v>29</v>
      </c>
      <c r="H62">
        <f t="shared" si="3"/>
        <v>-1</v>
      </c>
      <c r="I62">
        <v>57.1</v>
      </c>
      <c r="J62" t="str">
        <f t="shared" si="4"/>
        <v>Incorrect</v>
      </c>
      <c r="K62">
        <f t="shared" si="5"/>
        <v>1</v>
      </c>
      <c r="L62">
        <v>86</v>
      </c>
    </row>
    <row r="63" spans="1:15" x14ac:dyDescent="0.3">
      <c r="A63">
        <v>87</v>
      </c>
      <c r="B63">
        <v>68634038472</v>
      </c>
      <c r="C63" t="s">
        <v>409</v>
      </c>
      <c r="D63">
        <v>686340151947</v>
      </c>
      <c r="E63" t="s">
        <v>410</v>
      </c>
      <c r="F63" t="s">
        <v>36</v>
      </c>
      <c r="G63" t="s">
        <v>36</v>
      </c>
      <c r="H63">
        <f t="shared" si="3"/>
        <v>-1</v>
      </c>
      <c r="I63">
        <v>44.1</v>
      </c>
      <c r="J63" t="str">
        <f t="shared" si="4"/>
        <v>Incorrect</v>
      </c>
      <c r="K63">
        <f t="shared" si="5"/>
        <v>1</v>
      </c>
      <c r="L63">
        <v>87</v>
      </c>
    </row>
    <row r="64" spans="1:15" x14ac:dyDescent="0.3">
      <c r="A64">
        <v>88</v>
      </c>
      <c r="B64">
        <v>68634038473</v>
      </c>
      <c r="C64" t="s">
        <v>411</v>
      </c>
      <c r="D64">
        <v>686340151949</v>
      </c>
      <c r="E64" t="s">
        <v>408</v>
      </c>
      <c r="F64" t="s">
        <v>29</v>
      </c>
      <c r="G64" t="s">
        <v>29</v>
      </c>
      <c r="H64">
        <f t="shared" si="3"/>
        <v>-1</v>
      </c>
      <c r="I64">
        <v>46.8</v>
      </c>
      <c r="J64" t="str">
        <f t="shared" si="4"/>
        <v>Incorrect</v>
      </c>
      <c r="K64">
        <f t="shared" si="5"/>
        <v>1</v>
      </c>
      <c r="L64">
        <v>88</v>
      </c>
    </row>
    <row r="65" spans="1:15" x14ac:dyDescent="0.3">
      <c r="A65">
        <v>89</v>
      </c>
      <c r="B65">
        <v>68634038474</v>
      </c>
      <c r="C65" t="s">
        <v>412</v>
      </c>
      <c r="D65">
        <v>686340151955</v>
      </c>
      <c r="E65" t="s">
        <v>406</v>
      </c>
      <c r="F65" t="s">
        <v>36</v>
      </c>
      <c r="G65" t="s">
        <v>29</v>
      </c>
      <c r="H65">
        <f t="shared" si="3"/>
        <v>-1</v>
      </c>
      <c r="I65">
        <v>82.5</v>
      </c>
      <c r="J65" t="str">
        <f t="shared" si="4"/>
        <v>Incorrect</v>
      </c>
      <c r="K65">
        <f t="shared" si="5"/>
        <v>1</v>
      </c>
      <c r="L65">
        <v>89</v>
      </c>
      <c r="M65">
        <v>89</v>
      </c>
      <c r="N65">
        <v>89</v>
      </c>
      <c r="O65" t="s">
        <v>413</v>
      </c>
    </row>
    <row r="66" spans="1:15" x14ac:dyDescent="0.3">
      <c r="A66">
        <v>90</v>
      </c>
      <c r="B66">
        <v>68634038475</v>
      </c>
      <c r="C66" t="s">
        <v>414</v>
      </c>
      <c r="D66">
        <v>686340151957</v>
      </c>
      <c r="E66" t="s">
        <v>415</v>
      </c>
      <c r="F66" t="s">
        <v>29</v>
      </c>
      <c r="G66" t="s">
        <v>29</v>
      </c>
      <c r="H66">
        <f t="shared" ref="H66:H76" si="6">IF(J66="Correct", 4, IF(J66="Incorrect", -1, 0))</f>
        <v>-1</v>
      </c>
      <c r="I66">
        <v>104.1</v>
      </c>
      <c r="J66" t="str">
        <f t="shared" ref="J66:J76" si="7">IF(OR(ISBLANK(G66), G66="Not Attempted", G66=""), "Unattempted", IF(G66=E66, "Correct", "Incorrect"))</f>
        <v>Incorrect</v>
      </c>
      <c r="K66">
        <f t="shared" ref="K66:K76" si="8">IF(J66="Incorrect", 1, 0)</f>
        <v>1</v>
      </c>
      <c r="L66">
        <v>90</v>
      </c>
      <c r="N66">
        <v>90</v>
      </c>
      <c r="O66" t="s">
        <v>416</v>
      </c>
    </row>
    <row r="67" spans="1:15" x14ac:dyDescent="0.3">
      <c r="A67">
        <v>91</v>
      </c>
      <c r="B67">
        <v>68634038476</v>
      </c>
      <c r="C67" t="s">
        <v>417</v>
      </c>
      <c r="D67">
        <v>686340151963</v>
      </c>
      <c r="E67" t="s">
        <v>418</v>
      </c>
      <c r="F67" t="s">
        <v>36</v>
      </c>
      <c r="G67" t="s">
        <v>36</v>
      </c>
      <c r="H67">
        <f t="shared" si="6"/>
        <v>-1</v>
      </c>
      <c r="I67">
        <v>65.7</v>
      </c>
      <c r="J67" t="str">
        <f t="shared" si="7"/>
        <v>Incorrect</v>
      </c>
      <c r="K67">
        <f t="shared" si="8"/>
        <v>1</v>
      </c>
      <c r="L67">
        <v>91</v>
      </c>
    </row>
    <row r="68" spans="1:15" x14ac:dyDescent="0.3">
      <c r="A68">
        <v>92</v>
      </c>
      <c r="B68">
        <v>68634038477</v>
      </c>
      <c r="C68" t="s">
        <v>419</v>
      </c>
      <c r="D68">
        <v>686340151968</v>
      </c>
      <c r="E68" t="s">
        <v>420</v>
      </c>
      <c r="F68" t="s">
        <v>26</v>
      </c>
      <c r="G68" t="s">
        <v>26</v>
      </c>
      <c r="H68">
        <f t="shared" si="6"/>
        <v>-1</v>
      </c>
      <c r="I68">
        <v>37.700000000000003</v>
      </c>
      <c r="J68" t="str">
        <f t="shared" si="7"/>
        <v>Incorrect</v>
      </c>
      <c r="K68">
        <f t="shared" si="8"/>
        <v>1</v>
      </c>
      <c r="L68">
        <v>92</v>
      </c>
    </row>
    <row r="69" spans="1:15" x14ac:dyDescent="0.3">
      <c r="A69">
        <v>93</v>
      </c>
      <c r="B69">
        <v>68634038478</v>
      </c>
      <c r="C69" t="s">
        <v>421</v>
      </c>
      <c r="D69">
        <v>686340151969</v>
      </c>
      <c r="E69" t="s">
        <v>408</v>
      </c>
      <c r="F69" t="s">
        <v>29</v>
      </c>
      <c r="G69" t="s">
        <v>26</v>
      </c>
      <c r="H69">
        <f t="shared" si="6"/>
        <v>-1</v>
      </c>
      <c r="I69">
        <v>39.799999999999997</v>
      </c>
      <c r="J69" t="str">
        <f t="shared" si="7"/>
        <v>Incorrect</v>
      </c>
      <c r="K69">
        <f t="shared" si="8"/>
        <v>1</v>
      </c>
      <c r="L69">
        <v>93</v>
      </c>
      <c r="M69">
        <v>93</v>
      </c>
      <c r="O69" t="s">
        <v>422</v>
      </c>
    </row>
    <row r="70" spans="1:15" x14ac:dyDescent="0.3">
      <c r="A70">
        <v>94</v>
      </c>
      <c r="B70">
        <v>68634038479</v>
      </c>
      <c r="C70" t="s">
        <v>423</v>
      </c>
      <c r="D70">
        <v>686340151976</v>
      </c>
      <c r="E70" t="s">
        <v>136</v>
      </c>
      <c r="F70" t="s">
        <v>26</v>
      </c>
      <c r="G70" t="s">
        <v>26</v>
      </c>
      <c r="H70">
        <f t="shared" si="6"/>
        <v>-1</v>
      </c>
      <c r="I70">
        <v>67</v>
      </c>
      <c r="J70" t="str">
        <f t="shared" si="7"/>
        <v>Incorrect</v>
      </c>
      <c r="K70">
        <f t="shared" si="8"/>
        <v>1</v>
      </c>
      <c r="L70">
        <v>94</v>
      </c>
      <c r="N70">
        <v>94</v>
      </c>
      <c r="O70" t="s">
        <v>424</v>
      </c>
    </row>
    <row r="71" spans="1:15" x14ac:dyDescent="0.3">
      <c r="A71">
        <v>95</v>
      </c>
      <c r="B71">
        <v>68634038480</v>
      </c>
      <c r="C71" t="s">
        <v>425</v>
      </c>
      <c r="D71">
        <v>686340151978</v>
      </c>
      <c r="E71" t="s">
        <v>426</v>
      </c>
      <c r="F71" t="s">
        <v>48</v>
      </c>
      <c r="G71" t="s">
        <v>48</v>
      </c>
      <c r="H71">
        <f t="shared" si="6"/>
        <v>-1</v>
      </c>
      <c r="I71">
        <v>39.799999999999997</v>
      </c>
      <c r="J71" t="str">
        <f t="shared" si="7"/>
        <v>Incorrect</v>
      </c>
      <c r="K71">
        <f t="shared" si="8"/>
        <v>1</v>
      </c>
      <c r="L71">
        <v>95</v>
      </c>
    </row>
    <row r="72" spans="1:15" x14ac:dyDescent="0.3">
      <c r="A72">
        <v>96</v>
      </c>
      <c r="B72">
        <v>68634038481</v>
      </c>
      <c r="C72" t="s">
        <v>427</v>
      </c>
      <c r="D72">
        <v>686340151984</v>
      </c>
      <c r="E72" t="s">
        <v>343</v>
      </c>
      <c r="F72" t="s">
        <v>26</v>
      </c>
      <c r="G72" t="s">
        <v>26</v>
      </c>
      <c r="H72">
        <f t="shared" si="6"/>
        <v>-1</v>
      </c>
      <c r="I72">
        <v>108.2</v>
      </c>
      <c r="J72" t="str">
        <f t="shared" si="7"/>
        <v>Incorrect</v>
      </c>
      <c r="K72">
        <f t="shared" si="8"/>
        <v>1</v>
      </c>
      <c r="L72">
        <v>96</v>
      </c>
    </row>
    <row r="73" spans="1:15" x14ac:dyDescent="0.3">
      <c r="A73">
        <v>97</v>
      </c>
      <c r="B73">
        <v>68634038482</v>
      </c>
      <c r="C73" t="s">
        <v>428</v>
      </c>
      <c r="D73">
        <v>686340151987</v>
      </c>
      <c r="E73" t="s">
        <v>429</v>
      </c>
      <c r="F73" t="s">
        <v>36</v>
      </c>
      <c r="G73" t="s">
        <v>36</v>
      </c>
      <c r="H73">
        <f t="shared" si="6"/>
        <v>-1</v>
      </c>
      <c r="I73">
        <v>73.900000000000006</v>
      </c>
      <c r="J73" t="str">
        <f t="shared" si="7"/>
        <v>Incorrect</v>
      </c>
      <c r="K73">
        <f t="shared" si="8"/>
        <v>1</v>
      </c>
      <c r="L73">
        <v>97</v>
      </c>
    </row>
    <row r="74" spans="1:15" x14ac:dyDescent="0.3">
      <c r="A74">
        <v>98</v>
      </c>
      <c r="B74">
        <v>68634038483</v>
      </c>
      <c r="C74" t="s">
        <v>430</v>
      </c>
      <c r="D74">
        <v>686340151992</v>
      </c>
      <c r="E74" t="s">
        <v>121</v>
      </c>
      <c r="F74" t="s">
        <v>26</v>
      </c>
      <c r="G74" t="s">
        <v>26</v>
      </c>
      <c r="H74">
        <f t="shared" si="6"/>
        <v>-1</v>
      </c>
      <c r="I74">
        <v>63.5</v>
      </c>
      <c r="J74" t="str">
        <f t="shared" si="7"/>
        <v>Incorrect</v>
      </c>
      <c r="K74">
        <f t="shared" si="8"/>
        <v>1</v>
      </c>
      <c r="L74">
        <v>98</v>
      </c>
      <c r="N74">
        <v>98</v>
      </c>
      <c r="O74" t="s">
        <v>431</v>
      </c>
    </row>
    <row r="75" spans="1:15" x14ac:dyDescent="0.3">
      <c r="A75">
        <v>99</v>
      </c>
      <c r="B75">
        <v>68634038484</v>
      </c>
      <c r="C75" t="s">
        <v>432</v>
      </c>
      <c r="D75">
        <v>686340151996</v>
      </c>
      <c r="E75" t="s">
        <v>121</v>
      </c>
      <c r="F75" t="s">
        <v>26</v>
      </c>
      <c r="G75" t="s">
        <v>26</v>
      </c>
      <c r="H75">
        <f t="shared" si="6"/>
        <v>-1</v>
      </c>
      <c r="I75">
        <v>25.2</v>
      </c>
      <c r="J75" t="str">
        <f t="shared" si="7"/>
        <v>Incorrect</v>
      </c>
      <c r="K75">
        <f t="shared" si="8"/>
        <v>1</v>
      </c>
      <c r="L75">
        <v>99</v>
      </c>
    </row>
    <row r="76" spans="1:15" x14ac:dyDescent="0.3">
      <c r="A76">
        <v>100</v>
      </c>
      <c r="B76">
        <v>68634038485</v>
      </c>
      <c r="C76" t="s">
        <v>433</v>
      </c>
      <c r="D76">
        <v>686340151997</v>
      </c>
      <c r="E76" t="s">
        <v>408</v>
      </c>
      <c r="F76" t="s">
        <v>29</v>
      </c>
      <c r="G76" t="s">
        <v>29</v>
      </c>
      <c r="H76">
        <f t="shared" si="6"/>
        <v>-1</v>
      </c>
      <c r="I76">
        <v>54.2</v>
      </c>
      <c r="J76" t="str">
        <f t="shared" si="7"/>
        <v>Incorrect</v>
      </c>
      <c r="K76">
        <f t="shared" si="8"/>
        <v>1</v>
      </c>
      <c r="L76">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6"/>
  <sheetViews>
    <sheetView topLeftCell="A51" zoomScale="56" workbookViewId="0">
      <selection activeCell="D83" sqref="D83"/>
    </sheetView>
  </sheetViews>
  <sheetFormatPr defaultRowHeight="14.4" x14ac:dyDescent="0.3"/>
  <cols>
    <col min="1" max="1" width="12" customWidth="1"/>
    <col min="2" max="3" width="60" customWidth="1"/>
    <col min="4" max="4" width="18" customWidth="1"/>
    <col min="5" max="5" width="19" customWidth="1"/>
    <col min="6" max="6" width="16" customWidth="1"/>
    <col min="7" max="11" width="12" customWidth="1"/>
    <col min="12" max="12" width="16" customWidth="1"/>
    <col min="13" max="14" width="60" customWidth="1"/>
    <col min="15" max="15" width="68" customWidth="1"/>
    <col min="16" max="16" width="60" customWidth="1"/>
  </cols>
  <sheetData>
    <row r="1" spans="1:16" x14ac:dyDescent="0.3">
      <c r="A1" s="4" t="s">
        <v>434</v>
      </c>
      <c r="B1" s="4" t="s">
        <v>9</v>
      </c>
      <c r="C1" s="4" t="s">
        <v>435</v>
      </c>
      <c r="D1" s="4" t="s">
        <v>436</v>
      </c>
      <c r="E1" s="4" t="s">
        <v>11</v>
      </c>
      <c r="F1" s="4" t="s">
        <v>437</v>
      </c>
      <c r="G1" s="4" t="s">
        <v>438</v>
      </c>
      <c r="H1" s="4" t="s">
        <v>439</v>
      </c>
      <c r="I1" s="4" t="s">
        <v>15</v>
      </c>
      <c r="J1" s="4" t="s">
        <v>16</v>
      </c>
      <c r="K1" s="4" t="s">
        <v>17</v>
      </c>
      <c r="L1" s="4" t="s">
        <v>18</v>
      </c>
      <c r="M1" s="4" t="s">
        <v>19</v>
      </c>
      <c r="N1" s="4" t="s">
        <v>20</v>
      </c>
      <c r="O1" s="4" t="s">
        <v>440</v>
      </c>
      <c r="P1" s="4" t="s">
        <v>22</v>
      </c>
    </row>
    <row r="2" spans="1:16" x14ac:dyDescent="0.3">
      <c r="A2">
        <v>1</v>
      </c>
      <c r="B2">
        <v>87827045226</v>
      </c>
      <c r="C2" t="s">
        <v>441</v>
      </c>
      <c r="E2" t="s">
        <v>442</v>
      </c>
      <c r="F2" t="s">
        <v>443</v>
      </c>
      <c r="G2" t="s">
        <v>26</v>
      </c>
      <c r="H2" t="s">
        <v>26</v>
      </c>
      <c r="I2">
        <f t="shared" ref="I2:I33" si="0">IF(K2="Correct", 4, IF(K2="Incorrect", -1, 0))</f>
        <v>4</v>
      </c>
      <c r="J2">
        <v>50.6</v>
      </c>
      <c r="K2" t="str">
        <f t="shared" ref="K2:K33" si="1">IF(OR(ISBLANK(H2), H2="Not Attempted", H2=""), "Unattempted", IF(H2=G2, "Correct", "Incorrect"))</f>
        <v>Correct</v>
      </c>
      <c r="L2">
        <f t="shared" ref="L2:L33" si="2">IF(K2="Incorrect", 1, 0)</f>
        <v>0</v>
      </c>
      <c r="M2">
        <v>1</v>
      </c>
    </row>
    <row r="3" spans="1:16" x14ac:dyDescent="0.3">
      <c r="A3">
        <v>2</v>
      </c>
      <c r="B3">
        <v>87827045227</v>
      </c>
      <c r="C3" t="s">
        <v>444</v>
      </c>
      <c r="E3" t="s">
        <v>445</v>
      </c>
      <c r="F3" t="s">
        <v>446</v>
      </c>
      <c r="G3" t="s">
        <v>36</v>
      </c>
      <c r="H3" t="s">
        <v>36</v>
      </c>
      <c r="I3">
        <f t="shared" si="0"/>
        <v>4</v>
      </c>
      <c r="J3">
        <v>21</v>
      </c>
      <c r="K3" t="str">
        <f t="shared" si="1"/>
        <v>Correct</v>
      </c>
      <c r="L3">
        <f t="shared" si="2"/>
        <v>0</v>
      </c>
      <c r="M3">
        <v>2</v>
      </c>
    </row>
    <row r="4" spans="1:16" x14ac:dyDescent="0.3">
      <c r="A4">
        <v>3</v>
      </c>
      <c r="B4">
        <v>87827045228</v>
      </c>
      <c r="C4" t="s">
        <v>447</v>
      </c>
      <c r="E4" t="s">
        <v>448</v>
      </c>
      <c r="F4" t="s">
        <v>449</v>
      </c>
      <c r="G4" t="s">
        <v>26</v>
      </c>
      <c r="H4" t="s">
        <v>26</v>
      </c>
      <c r="I4">
        <f t="shared" si="0"/>
        <v>4</v>
      </c>
      <c r="J4">
        <v>43</v>
      </c>
      <c r="K4" t="str">
        <f t="shared" si="1"/>
        <v>Correct</v>
      </c>
      <c r="L4">
        <f t="shared" si="2"/>
        <v>0</v>
      </c>
      <c r="M4">
        <v>3</v>
      </c>
    </row>
    <row r="5" spans="1:16" x14ac:dyDescent="0.3">
      <c r="A5">
        <v>4</v>
      </c>
      <c r="B5">
        <v>87827045229</v>
      </c>
      <c r="C5" t="s">
        <v>450</v>
      </c>
      <c r="E5" t="s">
        <v>451</v>
      </c>
      <c r="F5" t="s">
        <v>267</v>
      </c>
      <c r="G5" t="s">
        <v>29</v>
      </c>
      <c r="H5" t="s">
        <v>29</v>
      </c>
      <c r="I5">
        <f t="shared" si="0"/>
        <v>4</v>
      </c>
      <c r="J5">
        <v>55.8</v>
      </c>
      <c r="K5" t="str">
        <f t="shared" si="1"/>
        <v>Correct</v>
      </c>
      <c r="L5">
        <f t="shared" si="2"/>
        <v>0</v>
      </c>
      <c r="M5">
        <v>4</v>
      </c>
    </row>
    <row r="6" spans="1:16" x14ac:dyDescent="0.3">
      <c r="A6">
        <v>5</v>
      </c>
      <c r="B6">
        <v>87827045230</v>
      </c>
      <c r="C6" t="s">
        <v>452</v>
      </c>
      <c r="E6" t="s">
        <v>453</v>
      </c>
      <c r="F6" t="s">
        <v>454</v>
      </c>
      <c r="G6" t="s">
        <v>48</v>
      </c>
      <c r="H6" t="s">
        <v>48</v>
      </c>
      <c r="I6">
        <f t="shared" si="0"/>
        <v>4</v>
      </c>
      <c r="J6">
        <v>78.7</v>
      </c>
      <c r="K6" t="str">
        <f t="shared" si="1"/>
        <v>Correct</v>
      </c>
      <c r="L6">
        <f t="shared" si="2"/>
        <v>0</v>
      </c>
      <c r="M6">
        <v>5</v>
      </c>
    </row>
    <row r="7" spans="1:16" x14ac:dyDescent="0.3">
      <c r="A7">
        <v>6</v>
      </c>
      <c r="B7">
        <v>87827045231</v>
      </c>
      <c r="C7" t="s">
        <v>455</v>
      </c>
      <c r="E7" t="s">
        <v>456</v>
      </c>
      <c r="F7" t="s">
        <v>457</v>
      </c>
      <c r="G7" t="s">
        <v>48</v>
      </c>
      <c r="H7" t="s">
        <v>48</v>
      </c>
      <c r="I7">
        <f t="shared" si="0"/>
        <v>4</v>
      </c>
      <c r="J7">
        <v>42.6</v>
      </c>
      <c r="K7" t="str">
        <f t="shared" si="1"/>
        <v>Correct</v>
      </c>
      <c r="L7">
        <f t="shared" si="2"/>
        <v>0</v>
      </c>
      <c r="M7">
        <v>6</v>
      </c>
    </row>
    <row r="8" spans="1:16" x14ac:dyDescent="0.3">
      <c r="A8">
        <v>7</v>
      </c>
      <c r="B8">
        <v>87827045232</v>
      </c>
      <c r="C8" t="s">
        <v>458</v>
      </c>
      <c r="E8" t="s">
        <v>459</v>
      </c>
      <c r="F8" t="s">
        <v>460</v>
      </c>
      <c r="G8" t="s">
        <v>48</v>
      </c>
      <c r="H8" t="s">
        <v>48</v>
      </c>
      <c r="I8">
        <f t="shared" si="0"/>
        <v>4</v>
      </c>
      <c r="J8">
        <v>33.9</v>
      </c>
      <c r="K8" t="str">
        <f t="shared" si="1"/>
        <v>Correct</v>
      </c>
      <c r="L8">
        <f t="shared" si="2"/>
        <v>0</v>
      </c>
      <c r="M8">
        <v>7</v>
      </c>
    </row>
    <row r="9" spans="1:16" x14ac:dyDescent="0.3">
      <c r="A9">
        <v>8</v>
      </c>
      <c r="B9">
        <v>87827045233</v>
      </c>
      <c r="C9" t="s">
        <v>461</v>
      </c>
      <c r="E9" t="s">
        <v>462</v>
      </c>
      <c r="F9" t="s">
        <v>463</v>
      </c>
      <c r="G9" t="s">
        <v>36</v>
      </c>
      <c r="H9" t="s">
        <v>36</v>
      </c>
      <c r="I9">
        <f t="shared" si="0"/>
        <v>4</v>
      </c>
      <c r="J9">
        <v>61</v>
      </c>
      <c r="K9" t="str">
        <f t="shared" si="1"/>
        <v>Correct</v>
      </c>
      <c r="L9">
        <f t="shared" si="2"/>
        <v>0</v>
      </c>
      <c r="M9">
        <v>8</v>
      </c>
    </row>
    <row r="10" spans="1:16" x14ac:dyDescent="0.3">
      <c r="A10">
        <v>9</v>
      </c>
      <c r="B10">
        <v>87827045234</v>
      </c>
      <c r="C10" t="s">
        <v>464</v>
      </c>
      <c r="E10" t="s">
        <v>465</v>
      </c>
      <c r="F10" t="s">
        <v>466</v>
      </c>
      <c r="G10" t="s">
        <v>48</v>
      </c>
      <c r="H10" t="s">
        <v>48</v>
      </c>
      <c r="I10">
        <f t="shared" si="0"/>
        <v>4</v>
      </c>
      <c r="J10">
        <v>26.3</v>
      </c>
      <c r="K10" t="str">
        <f t="shared" si="1"/>
        <v>Correct</v>
      </c>
      <c r="L10">
        <f t="shared" si="2"/>
        <v>0</v>
      </c>
      <c r="M10">
        <v>9</v>
      </c>
    </row>
    <row r="11" spans="1:16" x14ac:dyDescent="0.3">
      <c r="A11">
        <v>10</v>
      </c>
      <c r="B11">
        <v>87827045235</v>
      </c>
      <c r="C11" t="s">
        <v>467</v>
      </c>
      <c r="E11" t="s">
        <v>468</v>
      </c>
      <c r="F11" t="s">
        <v>469</v>
      </c>
      <c r="G11" t="s">
        <v>36</v>
      </c>
      <c r="H11" t="s">
        <v>36</v>
      </c>
      <c r="I11">
        <f t="shared" si="0"/>
        <v>4</v>
      </c>
      <c r="J11">
        <v>79.5</v>
      </c>
      <c r="K11" t="str">
        <f t="shared" si="1"/>
        <v>Correct</v>
      </c>
      <c r="L11">
        <f t="shared" si="2"/>
        <v>0</v>
      </c>
      <c r="M11">
        <v>10</v>
      </c>
    </row>
    <row r="12" spans="1:16" x14ac:dyDescent="0.3">
      <c r="A12">
        <v>11</v>
      </c>
      <c r="B12">
        <v>87827045236</v>
      </c>
      <c r="C12" t="s">
        <v>470</v>
      </c>
      <c r="E12" t="s">
        <v>471</v>
      </c>
      <c r="F12" t="s">
        <v>472</v>
      </c>
      <c r="G12" t="s">
        <v>29</v>
      </c>
      <c r="H12" t="s">
        <v>29</v>
      </c>
      <c r="I12">
        <f t="shared" si="0"/>
        <v>4</v>
      </c>
      <c r="J12">
        <v>45.1</v>
      </c>
      <c r="K12" t="str">
        <f t="shared" si="1"/>
        <v>Correct</v>
      </c>
      <c r="L12">
        <f t="shared" si="2"/>
        <v>0</v>
      </c>
      <c r="M12">
        <v>11</v>
      </c>
    </row>
    <row r="13" spans="1:16" x14ac:dyDescent="0.3">
      <c r="A13">
        <v>12</v>
      </c>
      <c r="B13">
        <v>87827045237</v>
      </c>
      <c r="C13" t="s">
        <v>473</v>
      </c>
      <c r="E13" t="s">
        <v>474</v>
      </c>
      <c r="F13" t="s">
        <v>475</v>
      </c>
      <c r="G13" t="s">
        <v>36</v>
      </c>
      <c r="H13" t="s">
        <v>36</v>
      </c>
      <c r="I13">
        <f t="shared" si="0"/>
        <v>4</v>
      </c>
      <c r="J13">
        <v>15.9</v>
      </c>
      <c r="K13" t="str">
        <f t="shared" si="1"/>
        <v>Correct</v>
      </c>
      <c r="L13">
        <f t="shared" si="2"/>
        <v>0</v>
      </c>
      <c r="M13">
        <v>12</v>
      </c>
    </row>
    <row r="14" spans="1:16" x14ac:dyDescent="0.3">
      <c r="A14">
        <v>13</v>
      </c>
      <c r="B14">
        <v>87827045238</v>
      </c>
      <c r="C14" t="s">
        <v>476</v>
      </c>
      <c r="E14" t="s">
        <v>477</v>
      </c>
      <c r="F14" t="s">
        <v>478</v>
      </c>
      <c r="G14" t="s">
        <v>29</v>
      </c>
      <c r="H14" t="s">
        <v>29</v>
      </c>
      <c r="I14">
        <f t="shared" si="0"/>
        <v>4</v>
      </c>
      <c r="J14">
        <v>15.5</v>
      </c>
      <c r="K14" t="str">
        <f t="shared" si="1"/>
        <v>Correct</v>
      </c>
      <c r="L14">
        <f t="shared" si="2"/>
        <v>0</v>
      </c>
      <c r="M14">
        <v>13</v>
      </c>
    </row>
    <row r="15" spans="1:16" x14ac:dyDescent="0.3">
      <c r="A15">
        <v>14</v>
      </c>
      <c r="B15">
        <v>87827045239</v>
      </c>
      <c r="C15" t="s">
        <v>479</v>
      </c>
      <c r="D15" t="s">
        <v>480</v>
      </c>
      <c r="E15" t="s">
        <v>481</v>
      </c>
      <c r="F15" t="s">
        <v>482</v>
      </c>
      <c r="G15" t="s">
        <v>29</v>
      </c>
      <c r="H15" t="s">
        <v>36</v>
      </c>
      <c r="I15">
        <f t="shared" si="0"/>
        <v>-1</v>
      </c>
      <c r="J15">
        <v>102.4</v>
      </c>
      <c r="K15" t="str">
        <f t="shared" si="1"/>
        <v>Incorrect</v>
      </c>
      <c r="L15">
        <f t="shared" si="2"/>
        <v>1</v>
      </c>
      <c r="M15">
        <v>14</v>
      </c>
      <c r="N15">
        <v>14</v>
      </c>
      <c r="O15">
        <v>14</v>
      </c>
    </row>
    <row r="16" spans="1:16" x14ac:dyDescent="0.3">
      <c r="A16">
        <v>15</v>
      </c>
      <c r="B16">
        <v>87827045240</v>
      </c>
      <c r="C16" t="s">
        <v>483</v>
      </c>
      <c r="E16" t="s">
        <v>484</v>
      </c>
      <c r="F16" t="s">
        <v>485</v>
      </c>
      <c r="G16" t="s">
        <v>48</v>
      </c>
      <c r="H16" t="s">
        <v>48</v>
      </c>
      <c r="I16">
        <f t="shared" si="0"/>
        <v>4</v>
      </c>
      <c r="J16">
        <v>38.799999999999997</v>
      </c>
      <c r="K16" t="str">
        <f t="shared" si="1"/>
        <v>Correct</v>
      </c>
      <c r="L16">
        <f t="shared" si="2"/>
        <v>0</v>
      </c>
      <c r="M16">
        <v>15</v>
      </c>
    </row>
    <row r="17" spans="1:16" x14ac:dyDescent="0.3">
      <c r="A17">
        <v>16</v>
      </c>
      <c r="B17">
        <v>87827045241</v>
      </c>
      <c r="C17" t="s">
        <v>486</v>
      </c>
      <c r="E17" t="s">
        <v>487</v>
      </c>
      <c r="F17" t="s">
        <v>488</v>
      </c>
      <c r="G17" t="s">
        <v>48</v>
      </c>
      <c r="H17" t="s">
        <v>48</v>
      </c>
      <c r="I17">
        <f t="shared" si="0"/>
        <v>4</v>
      </c>
      <c r="J17">
        <v>237.6</v>
      </c>
      <c r="K17" t="str">
        <f t="shared" si="1"/>
        <v>Correct</v>
      </c>
      <c r="L17">
        <f t="shared" si="2"/>
        <v>0</v>
      </c>
      <c r="M17">
        <v>16</v>
      </c>
    </row>
    <row r="18" spans="1:16" x14ac:dyDescent="0.3">
      <c r="A18">
        <v>17</v>
      </c>
      <c r="B18">
        <v>87827045242</v>
      </c>
      <c r="C18" t="s">
        <v>489</v>
      </c>
      <c r="E18" t="s">
        <v>490</v>
      </c>
      <c r="F18" t="s">
        <v>491</v>
      </c>
      <c r="G18" t="s">
        <v>29</v>
      </c>
      <c r="H18" t="s">
        <v>29</v>
      </c>
      <c r="I18">
        <f t="shared" si="0"/>
        <v>4</v>
      </c>
      <c r="J18">
        <v>54.2</v>
      </c>
      <c r="K18" t="str">
        <f t="shared" si="1"/>
        <v>Correct</v>
      </c>
      <c r="L18">
        <f t="shared" si="2"/>
        <v>0</v>
      </c>
      <c r="M18">
        <v>17</v>
      </c>
    </row>
    <row r="19" spans="1:16" x14ac:dyDescent="0.3">
      <c r="A19">
        <v>18</v>
      </c>
      <c r="B19">
        <v>87827045243</v>
      </c>
      <c r="C19" t="s">
        <v>492</v>
      </c>
      <c r="E19" t="s">
        <v>493</v>
      </c>
      <c r="F19" t="s">
        <v>494</v>
      </c>
      <c r="G19" t="s">
        <v>36</v>
      </c>
      <c r="H19" t="s">
        <v>36</v>
      </c>
      <c r="I19">
        <f t="shared" si="0"/>
        <v>4</v>
      </c>
      <c r="J19">
        <v>50</v>
      </c>
      <c r="K19" t="str">
        <f t="shared" si="1"/>
        <v>Correct</v>
      </c>
      <c r="L19">
        <f t="shared" si="2"/>
        <v>0</v>
      </c>
      <c r="M19">
        <v>18</v>
      </c>
    </row>
    <row r="20" spans="1:16" x14ac:dyDescent="0.3">
      <c r="A20">
        <v>19</v>
      </c>
      <c r="B20">
        <v>87827045244</v>
      </c>
      <c r="C20" t="s">
        <v>495</v>
      </c>
      <c r="E20" t="s">
        <v>496</v>
      </c>
      <c r="F20" t="s">
        <v>497</v>
      </c>
      <c r="G20" t="s">
        <v>36</v>
      </c>
      <c r="H20" t="s">
        <v>36</v>
      </c>
      <c r="I20">
        <f t="shared" si="0"/>
        <v>4</v>
      </c>
      <c r="J20">
        <v>49.8</v>
      </c>
      <c r="K20" t="str">
        <f t="shared" si="1"/>
        <v>Correct</v>
      </c>
      <c r="L20">
        <f t="shared" si="2"/>
        <v>0</v>
      </c>
      <c r="M20">
        <v>19</v>
      </c>
    </row>
    <row r="21" spans="1:16" x14ac:dyDescent="0.3">
      <c r="A21">
        <v>20</v>
      </c>
      <c r="B21">
        <v>87827045245</v>
      </c>
      <c r="C21" t="s">
        <v>498</v>
      </c>
      <c r="E21" t="s">
        <v>499</v>
      </c>
      <c r="F21" t="s">
        <v>500</v>
      </c>
      <c r="G21" t="s">
        <v>48</v>
      </c>
      <c r="H21" t="s">
        <v>48</v>
      </c>
      <c r="I21">
        <f t="shared" si="0"/>
        <v>4</v>
      </c>
      <c r="J21">
        <v>22.5</v>
      </c>
      <c r="K21" t="str">
        <f t="shared" si="1"/>
        <v>Correct</v>
      </c>
      <c r="L21">
        <f t="shared" si="2"/>
        <v>0</v>
      </c>
      <c r="M21">
        <v>20</v>
      </c>
    </row>
    <row r="22" spans="1:16" x14ac:dyDescent="0.3">
      <c r="A22">
        <v>21</v>
      </c>
      <c r="B22">
        <v>87827045246</v>
      </c>
      <c r="C22" t="s">
        <v>501</v>
      </c>
      <c r="D22" t="s">
        <v>480</v>
      </c>
      <c r="E22" t="s">
        <v>502</v>
      </c>
      <c r="F22" t="s">
        <v>503</v>
      </c>
      <c r="G22" t="s">
        <v>29</v>
      </c>
      <c r="H22" t="s">
        <v>48</v>
      </c>
      <c r="I22">
        <f t="shared" si="0"/>
        <v>-1</v>
      </c>
      <c r="J22">
        <v>38.700000000000003</v>
      </c>
      <c r="K22" t="str">
        <f t="shared" si="1"/>
        <v>Incorrect</v>
      </c>
      <c r="L22">
        <f t="shared" si="2"/>
        <v>1</v>
      </c>
      <c r="M22">
        <v>21</v>
      </c>
      <c r="N22">
        <v>21</v>
      </c>
      <c r="O22">
        <v>21</v>
      </c>
      <c r="P22" t="s">
        <v>504</v>
      </c>
    </row>
    <row r="23" spans="1:16" x14ac:dyDescent="0.3">
      <c r="A23">
        <v>22</v>
      </c>
      <c r="B23">
        <v>87827045247</v>
      </c>
      <c r="C23" t="s">
        <v>505</v>
      </c>
      <c r="D23" t="s">
        <v>480</v>
      </c>
      <c r="E23" t="s">
        <v>506</v>
      </c>
      <c r="F23" t="s">
        <v>507</v>
      </c>
      <c r="G23" t="s">
        <v>36</v>
      </c>
      <c r="H23" t="s">
        <v>36</v>
      </c>
      <c r="I23">
        <f t="shared" si="0"/>
        <v>4</v>
      </c>
      <c r="J23">
        <v>132.6</v>
      </c>
      <c r="K23" t="str">
        <f t="shared" si="1"/>
        <v>Correct</v>
      </c>
      <c r="L23">
        <f t="shared" si="2"/>
        <v>0</v>
      </c>
      <c r="M23">
        <v>22</v>
      </c>
      <c r="O23">
        <v>22</v>
      </c>
      <c r="P23" t="s">
        <v>508</v>
      </c>
    </row>
    <row r="24" spans="1:16" x14ac:dyDescent="0.3">
      <c r="A24">
        <v>23</v>
      </c>
      <c r="B24">
        <v>87827045248</v>
      </c>
      <c r="C24" t="s">
        <v>509</v>
      </c>
      <c r="D24" t="s">
        <v>480</v>
      </c>
      <c r="E24" t="s">
        <v>510</v>
      </c>
      <c r="F24" t="s">
        <v>511</v>
      </c>
      <c r="G24" t="s">
        <v>48</v>
      </c>
      <c r="H24" t="s">
        <v>26</v>
      </c>
      <c r="I24">
        <f t="shared" si="0"/>
        <v>-1</v>
      </c>
      <c r="J24">
        <v>87.8</v>
      </c>
      <c r="K24" t="str">
        <f t="shared" si="1"/>
        <v>Incorrect</v>
      </c>
      <c r="L24">
        <f t="shared" si="2"/>
        <v>1</v>
      </c>
      <c r="M24">
        <v>23</v>
      </c>
      <c r="N24">
        <v>23</v>
      </c>
      <c r="O24">
        <v>23</v>
      </c>
      <c r="P24" t="s">
        <v>512</v>
      </c>
    </row>
    <row r="25" spans="1:16" x14ac:dyDescent="0.3">
      <c r="A25">
        <v>24</v>
      </c>
      <c r="B25">
        <v>87827045249</v>
      </c>
      <c r="C25" t="s">
        <v>513</v>
      </c>
      <c r="E25" t="s">
        <v>514</v>
      </c>
      <c r="F25" t="s">
        <v>515</v>
      </c>
      <c r="G25" t="s">
        <v>48</v>
      </c>
      <c r="H25" t="s">
        <v>48</v>
      </c>
      <c r="I25">
        <f t="shared" si="0"/>
        <v>4</v>
      </c>
      <c r="J25">
        <v>42.1</v>
      </c>
      <c r="K25" t="str">
        <f t="shared" si="1"/>
        <v>Correct</v>
      </c>
      <c r="L25">
        <f t="shared" si="2"/>
        <v>0</v>
      </c>
      <c r="M25">
        <v>24</v>
      </c>
    </row>
    <row r="26" spans="1:16" x14ac:dyDescent="0.3">
      <c r="A26">
        <v>25</v>
      </c>
      <c r="B26">
        <v>87827045250</v>
      </c>
      <c r="C26" t="s">
        <v>516</v>
      </c>
      <c r="D26" t="s">
        <v>480</v>
      </c>
      <c r="E26" t="s">
        <v>517</v>
      </c>
      <c r="F26" t="s">
        <v>518</v>
      </c>
      <c r="G26" t="s">
        <v>29</v>
      </c>
      <c r="H26" t="s">
        <v>26</v>
      </c>
      <c r="I26">
        <f t="shared" si="0"/>
        <v>-1</v>
      </c>
      <c r="J26">
        <v>156.1</v>
      </c>
      <c r="K26" t="str">
        <f t="shared" si="1"/>
        <v>Incorrect</v>
      </c>
      <c r="L26">
        <f t="shared" si="2"/>
        <v>1</v>
      </c>
      <c r="M26">
        <v>25</v>
      </c>
      <c r="N26">
        <v>25</v>
      </c>
      <c r="O26">
        <v>25</v>
      </c>
      <c r="P26" t="s">
        <v>519</v>
      </c>
    </row>
    <row r="27" spans="1:16" x14ac:dyDescent="0.3">
      <c r="A27">
        <v>26</v>
      </c>
      <c r="B27">
        <v>87827045251</v>
      </c>
      <c r="C27" t="s">
        <v>520</v>
      </c>
      <c r="D27" t="s">
        <v>480</v>
      </c>
      <c r="E27" t="s">
        <v>521</v>
      </c>
      <c r="F27" t="s">
        <v>522</v>
      </c>
      <c r="G27" t="s">
        <v>48</v>
      </c>
      <c r="H27" t="s">
        <v>48</v>
      </c>
      <c r="I27">
        <f t="shared" si="0"/>
        <v>4</v>
      </c>
      <c r="J27">
        <v>159.69999999999999</v>
      </c>
      <c r="K27" t="str">
        <f t="shared" si="1"/>
        <v>Correct</v>
      </c>
      <c r="L27">
        <f t="shared" si="2"/>
        <v>0</v>
      </c>
      <c r="M27">
        <v>26</v>
      </c>
      <c r="O27">
        <v>26</v>
      </c>
      <c r="P27" t="s">
        <v>523</v>
      </c>
    </row>
    <row r="28" spans="1:16" x14ac:dyDescent="0.3">
      <c r="A28">
        <v>27</v>
      </c>
      <c r="B28">
        <v>87827045252</v>
      </c>
      <c r="C28" t="s">
        <v>524</v>
      </c>
      <c r="E28" t="s">
        <v>525</v>
      </c>
      <c r="F28" t="s">
        <v>526</v>
      </c>
      <c r="G28" t="s">
        <v>48</v>
      </c>
      <c r="H28" t="s">
        <v>48</v>
      </c>
      <c r="I28">
        <f t="shared" si="0"/>
        <v>4</v>
      </c>
      <c r="J28">
        <v>49.7</v>
      </c>
      <c r="K28" t="str">
        <f t="shared" si="1"/>
        <v>Correct</v>
      </c>
      <c r="L28">
        <f t="shared" si="2"/>
        <v>0</v>
      </c>
      <c r="M28">
        <v>27</v>
      </c>
    </row>
    <row r="29" spans="1:16" x14ac:dyDescent="0.3">
      <c r="A29">
        <v>28</v>
      </c>
      <c r="B29">
        <v>87827045253</v>
      </c>
      <c r="C29" t="s">
        <v>527</v>
      </c>
      <c r="D29" t="s">
        <v>480</v>
      </c>
      <c r="E29" t="s">
        <v>528</v>
      </c>
      <c r="F29" t="s">
        <v>529</v>
      </c>
      <c r="G29" t="s">
        <v>48</v>
      </c>
      <c r="H29" t="s">
        <v>26</v>
      </c>
      <c r="I29">
        <f t="shared" si="0"/>
        <v>-1</v>
      </c>
      <c r="J29">
        <v>57.8</v>
      </c>
      <c r="K29" t="str">
        <f t="shared" si="1"/>
        <v>Incorrect</v>
      </c>
      <c r="L29">
        <f t="shared" si="2"/>
        <v>1</v>
      </c>
      <c r="M29">
        <v>28</v>
      </c>
      <c r="N29">
        <v>28</v>
      </c>
      <c r="O29">
        <v>28</v>
      </c>
      <c r="P29" t="s">
        <v>530</v>
      </c>
    </row>
    <row r="30" spans="1:16" x14ac:dyDescent="0.3">
      <c r="A30">
        <v>29</v>
      </c>
      <c r="B30">
        <v>87827045254</v>
      </c>
      <c r="C30" t="s">
        <v>531</v>
      </c>
      <c r="D30" t="s">
        <v>480</v>
      </c>
      <c r="E30" t="s">
        <v>532</v>
      </c>
      <c r="F30" t="s">
        <v>533</v>
      </c>
      <c r="G30" t="s">
        <v>36</v>
      </c>
      <c r="H30" t="s">
        <v>36</v>
      </c>
      <c r="I30">
        <f t="shared" si="0"/>
        <v>4</v>
      </c>
      <c r="J30">
        <v>241.6</v>
      </c>
      <c r="K30" t="str">
        <f t="shared" si="1"/>
        <v>Correct</v>
      </c>
      <c r="L30">
        <f t="shared" si="2"/>
        <v>0</v>
      </c>
      <c r="M30">
        <v>29</v>
      </c>
      <c r="O30">
        <v>29</v>
      </c>
      <c r="P30" t="s">
        <v>534</v>
      </c>
    </row>
    <row r="31" spans="1:16" x14ac:dyDescent="0.3">
      <c r="A31">
        <v>30</v>
      </c>
      <c r="B31">
        <v>87827045255</v>
      </c>
      <c r="C31" t="s">
        <v>535</v>
      </c>
      <c r="E31" t="s">
        <v>536</v>
      </c>
      <c r="F31" t="s">
        <v>537</v>
      </c>
      <c r="G31" t="s">
        <v>26</v>
      </c>
      <c r="H31" t="s">
        <v>26</v>
      </c>
      <c r="I31">
        <f t="shared" si="0"/>
        <v>4</v>
      </c>
      <c r="J31">
        <v>118.9</v>
      </c>
      <c r="K31" t="str">
        <f t="shared" si="1"/>
        <v>Correct</v>
      </c>
      <c r="L31">
        <f t="shared" si="2"/>
        <v>0</v>
      </c>
      <c r="M31">
        <v>30</v>
      </c>
    </row>
    <row r="32" spans="1:16" x14ac:dyDescent="0.3">
      <c r="A32">
        <v>31</v>
      </c>
      <c r="B32">
        <v>87827045256</v>
      </c>
      <c r="C32" t="s">
        <v>538</v>
      </c>
      <c r="D32" t="s">
        <v>480</v>
      </c>
      <c r="E32" t="s">
        <v>539</v>
      </c>
      <c r="F32" t="s">
        <v>540</v>
      </c>
      <c r="G32" t="s">
        <v>26</v>
      </c>
      <c r="H32" t="s">
        <v>29</v>
      </c>
      <c r="I32">
        <f t="shared" si="0"/>
        <v>-1</v>
      </c>
      <c r="J32">
        <v>299.60000000000002</v>
      </c>
      <c r="K32" t="str">
        <f t="shared" si="1"/>
        <v>Incorrect</v>
      </c>
      <c r="L32">
        <f t="shared" si="2"/>
        <v>1</v>
      </c>
      <c r="M32">
        <v>31</v>
      </c>
      <c r="N32">
        <v>31</v>
      </c>
      <c r="O32">
        <v>31</v>
      </c>
      <c r="P32" t="s">
        <v>541</v>
      </c>
    </row>
    <row r="33" spans="1:16" x14ac:dyDescent="0.3">
      <c r="A33">
        <v>32</v>
      </c>
      <c r="B33">
        <v>87827045257</v>
      </c>
      <c r="C33" t="s">
        <v>542</v>
      </c>
      <c r="D33" t="s">
        <v>480</v>
      </c>
      <c r="E33" t="s">
        <v>543</v>
      </c>
      <c r="F33" t="s">
        <v>544</v>
      </c>
      <c r="G33" t="s">
        <v>48</v>
      </c>
      <c r="H33" t="s">
        <v>48</v>
      </c>
      <c r="I33">
        <f t="shared" si="0"/>
        <v>4</v>
      </c>
      <c r="J33">
        <v>127.1</v>
      </c>
      <c r="K33" t="str">
        <f t="shared" si="1"/>
        <v>Correct</v>
      </c>
      <c r="L33">
        <f t="shared" si="2"/>
        <v>0</v>
      </c>
      <c r="M33">
        <v>32</v>
      </c>
      <c r="O33">
        <v>32</v>
      </c>
      <c r="P33" t="s">
        <v>545</v>
      </c>
    </row>
    <row r="34" spans="1:16" x14ac:dyDescent="0.3">
      <c r="A34">
        <v>33</v>
      </c>
      <c r="B34">
        <v>87827045258</v>
      </c>
      <c r="C34" t="s">
        <v>546</v>
      </c>
      <c r="E34" t="s">
        <v>547</v>
      </c>
      <c r="F34" t="s">
        <v>548</v>
      </c>
      <c r="G34" t="s">
        <v>36</v>
      </c>
      <c r="H34" t="s">
        <v>36</v>
      </c>
      <c r="I34">
        <f t="shared" ref="I34:I65" si="3">IF(K34="Correct", 4, IF(K34="Incorrect", -1, 0))</f>
        <v>4</v>
      </c>
      <c r="J34">
        <v>171.1</v>
      </c>
      <c r="K34" t="str">
        <f t="shared" ref="K34:K65" si="4">IF(OR(ISBLANK(H34), H34="Not Attempted", H34=""), "Unattempted", IF(H34=G34, "Correct", "Incorrect"))</f>
        <v>Correct</v>
      </c>
      <c r="L34">
        <f t="shared" ref="L34:L65" si="5">IF(K34="Incorrect", 1, 0)</f>
        <v>0</v>
      </c>
      <c r="M34">
        <v>33</v>
      </c>
    </row>
    <row r="35" spans="1:16" x14ac:dyDescent="0.3">
      <c r="A35">
        <v>34</v>
      </c>
      <c r="B35">
        <v>87827045259</v>
      </c>
      <c r="C35" t="s">
        <v>549</v>
      </c>
      <c r="E35" t="s">
        <v>550</v>
      </c>
      <c r="F35" t="s">
        <v>551</v>
      </c>
      <c r="G35" t="s">
        <v>29</v>
      </c>
      <c r="H35" t="s">
        <v>29</v>
      </c>
      <c r="I35">
        <f t="shared" si="3"/>
        <v>4</v>
      </c>
      <c r="J35">
        <v>39.9</v>
      </c>
      <c r="K35" t="str">
        <f t="shared" si="4"/>
        <v>Correct</v>
      </c>
      <c r="L35">
        <f t="shared" si="5"/>
        <v>0</v>
      </c>
      <c r="M35">
        <v>34</v>
      </c>
    </row>
    <row r="36" spans="1:16" x14ac:dyDescent="0.3">
      <c r="A36">
        <v>35</v>
      </c>
      <c r="B36">
        <v>87827045260</v>
      </c>
      <c r="C36" t="s">
        <v>552</v>
      </c>
      <c r="E36" t="s">
        <v>553</v>
      </c>
      <c r="F36" t="s">
        <v>554</v>
      </c>
      <c r="G36" t="s">
        <v>36</v>
      </c>
      <c r="H36" t="s">
        <v>36</v>
      </c>
      <c r="I36">
        <f t="shared" si="3"/>
        <v>4</v>
      </c>
      <c r="J36">
        <v>15.2</v>
      </c>
      <c r="K36" t="str">
        <f t="shared" si="4"/>
        <v>Correct</v>
      </c>
      <c r="L36">
        <f t="shared" si="5"/>
        <v>0</v>
      </c>
      <c r="M36">
        <v>35</v>
      </c>
    </row>
    <row r="37" spans="1:16" x14ac:dyDescent="0.3">
      <c r="A37">
        <v>36</v>
      </c>
      <c r="B37">
        <v>87827045261</v>
      </c>
      <c r="C37" t="s">
        <v>555</v>
      </c>
      <c r="E37" t="s">
        <v>556</v>
      </c>
      <c r="F37" t="s">
        <v>557</v>
      </c>
      <c r="G37" t="s">
        <v>36</v>
      </c>
      <c r="H37" t="s">
        <v>36</v>
      </c>
      <c r="I37">
        <f t="shared" si="3"/>
        <v>4</v>
      </c>
      <c r="J37">
        <v>124.9</v>
      </c>
      <c r="K37" t="str">
        <f t="shared" si="4"/>
        <v>Correct</v>
      </c>
      <c r="L37">
        <f t="shared" si="5"/>
        <v>0</v>
      </c>
      <c r="M37">
        <v>36</v>
      </c>
    </row>
    <row r="38" spans="1:16" x14ac:dyDescent="0.3">
      <c r="A38">
        <v>37</v>
      </c>
      <c r="B38">
        <v>87827045262</v>
      </c>
      <c r="C38" t="s">
        <v>558</v>
      </c>
      <c r="D38" t="s">
        <v>480</v>
      </c>
      <c r="E38" t="s">
        <v>559</v>
      </c>
      <c r="F38" t="s">
        <v>557</v>
      </c>
      <c r="G38" t="s">
        <v>29</v>
      </c>
      <c r="H38" t="s">
        <v>48</v>
      </c>
      <c r="I38">
        <f t="shared" si="3"/>
        <v>-1</v>
      </c>
      <c r="J38">
        <v>111.6</v>
      </c>
      <c r="K38" t="str">
        <f t="shared" si="4"/>
        <v>Incorrect</v>
      </c>
      <c r="L38">
        <f t="shared" si="5"/>
        <v>1</v>
      </c>
      <c r="M38">
        <v>37</v>
      </c>
      <c r="N38">
        <v>37</v>
      </c>
      <c r="O38">
        <v>37</v>
      </c>
      <c r="P38" t="s">
        <v>560</v>
      </c>
    </row>
    <row r="39" spans="1:16" x14ac:dyDescent="0.3">
      <c r="A39">
        <v>38</v>
      </c>
      <c r="B39">
        <v>87827045263</v>
      </c>
      <c r="C39" t="s">
        <v>561</v>
      </c>
      <c r="D39" t="s">
        <v>480</v>
      </c>
      <c r="E39" t="s">
        <v>562</v>
      </c>
      <c r="F39" t="s">
        <v>563</v>
      </c>
      <c r="G39" t="s">
        <v>48</v>
      </c>
      <c r="H39" t="s">
        <v>48</v>
      </c>
      <c r="I39">
        <f t="shared" si="3"/>
        <v>4</v>
      </c>
      <c r="J39">
        <v>37.799999999999997</v>
      </c>
      <c r="K39" t="str">
        <f t="shared" si="4"/>
        <v>Correct</v>
      </c>
      <c r="L39">
        <f t="shared" si="5"/>
        <v>0</v>
      </c>
      <c r="M39">
        <v>38</v>
      </c>
      <c r="O39">
        <v>38</v>
      </c>
      <c r="P39" t="s">
        <v>564</v>
      </c>
    </row>
    <row r="40" spans="1:16" x14ac:dyDescent="0.3">
      <c r="A40">
        <v>39</v>
      </c>
      <c r="B40">
        <v>87827045264</v>
      </c>
      <c r="C40" t="s">
        <v>565</v>
      </c>
      <c r="E40" t="s">
        <v>566</v>
      </c>
      <c r="F40" t="s">
        <v>567</v>
      </c>
      <c r="G40" t="s">
        <v>26</v>
      </c>
      <c r="H40" t="s">
        <v>26</v>
      </c>
      <c r="I40">
        <f t="shared" si="3"/>
        <v>4</v>
      </c>
      <c r="J40">
        <v>107.5</v>
      </c>
      <c r="K40" t="str">
        <f t="shared" si="4"/>
        <v>Correct</v>
      </c>
      <c r="L40">
        <f t="shared" si="5"/>
        <v>0</v>
      </c>
      <c r="M40">
        <v>39</v>
      </c>
    </row>
    <row r="41" spans="1:16" x14ac:dyDescent="0.3">
      <c r="A41">
        <v>40</v>
      </c>
      <c r="B41">
        <v>87827045265</v>
      </c>
      <c r="C41" t="s">
        <v>568</v>
      </c>
      <c r="D41" t="s">
        <v>480</v>
      </c>
      <c r="E41" t="s">
        <v>569</v>
      </c>
      <c r="F41" t="s">
        <v>570</v>
      </c>
      <c r="G41" t="s">
        <v>29</v>
      </c>
      <c r="H41" t="s">
        <v>29</v>
      </c>
      <c r="I41">
        <f t="shared" si="3"/>
        <v>4</v>
      </c>
      <c r="J41">
        <v>217.3</v>
      </c>
      <c r="K41" t="str">
        <f t="shared" si="4"/>
        <v>Correct</v>
      </c>
      <c r="L41">
        <f t="shared" si="5"/>
        <v>0</v>
      </c>
      <c r="M41">
        <v>40</v>
      </c>
      <c r="O41">
        <v>40</v>
      </c>
      <c r="P41" t="s">
        <v>571</v>
      </c>
    </row>
    <row r="42" spans="1:16" x14ac:dyDescent="0.3">
      <c r="A42">
        <v>41</v>
      </c>
      <c r="B42">
        <v>87827045266</v>
      </c>
      <c r="C42" t="s">
        <v>572</v>
      </c>
      <c r="E42" t="s">
        <v>573</v>
      </c>
      <c r="F42" t="s">
        <v>574</v>
      </c>
      <c r="G42" t="s">
        <v>48</v>
      </c>
      <c r="H42" t="s">
        <v>48</v>
      </c>
      <c r="I42">
        <f t="shared" si="3"/>
        <v>4</v>
      </c>
      <c r="J42">
        <v>155.19999999999999</v>
      </c>
      <c r="K42" t="str">
        <f t="shared" si="4"/>
        <v>Correct</v>
      </c>
      <c r="L42">
        <f t="shared" si="5"/>
        <v>0</v>
      </c>
      <c r="M42">
        <v>41</v>
      </c>
    </row>
    <row r="43" spans="1:16" x14ac:dyDescent="0.3">
      <c r="A43">
        <v>42</v>
      </c>
      <c r="B43">
        <v>87827045267</v>
      </c>
      <c r="C43" t="s">
        <v>575</v>
      </c>
      <c r="D43" t="s">
        <v>480</v>
      </c>
      <c r="E43" t="s">
        <v>576</v>
      </c>
      <c r="F43" t="s">
        <v>577</v>
      </c>
      <c r="G43" t="s">
        <v>48</v>
      </c>
      <c r="H43" t="s">
        <v>29</v>
      </c>
      <c r="I43">
        <f t="shared" si="3"/>
        <v>-1</v>
      </c>
      <c r="J43">
        <v>223.7</v>
      </c>
      <c r="K43" t="str">
        <f t="shared" si="4"/>
        <v>Incorrect</v>
      </c>
      <c r="L43">
        <f t="shared" si="5"/>
        <v>1</v>
      </c>
      <c r="M43">
        <v>42</v>
      </c>
      <c r="N43">
        <v>42</v>
      </c>
      <c r="O43">
        <v>42</v>
      </c>
      <c r="P43" t="s">
        <v>578</v>
      </c>
    </row>
    <row r="44" spans="1:16" x14ac:dyDescent="0.3">
      <c r="A44">
        <v>43</v>
      </c>
      <c r="B44">
        <v>87827045268</v>
      </c>
      <c r="C44" t="s">
        <v>579</v>
      </c>
      <c r="E44" t="s">
        <v>580</v>
      </c>
      <c r="F44" t="s">
        <v>581</v>
      </c>
      <c r="G44" t="s">
        <v>36</v>
      </c>
      <c r="H44" t="s">
        <v>36</v>
      </c>
      <c r="I44">
        <f t="shared" si="3"/>
        <v>4</v>
      </c>
      <c r="J44">
        <v>70.900000000000006</v>
      </c>
      <c r="K44" t="str">
        <f t="shared" si="4"/>
        <v>Correct</v>
      </c>
      <c r="L44">
        <f t="shared" si="5"/>
        <v>0</v>
      </c>
      <c r="M44">
        <v>43</v>
      </c>
    </row>
    <row r="45" spans="1:16" x14ac:dyDescent="0.3">
      <c r="A45">
        <v>44</v>
      </c>
      <c r="B45">
        <v>87827045269</v>
      </c>
      <c r="C45" t="s">
        <v>582</v>
      </c>
      <c r="E45" t="s">
        <v>583</v>
      </c>
      <c r="F45" t="s">
        <v>584</v>
      </c>
      <c r="G45" t="s">
        <v>26</v>
      </c>
      <c r="H45" t="s">
        <v>26</v>
      </c>
      <c r="I45">
        <f t="shared" si="3"/>
        <v>4</v>
      </c>
      <c r="J45">
        <v>63.4</v>
      </c>
      <c r="K45" t="str">
        <f t="shared" si="4"/>
        <v>Correct</v>
      </c>
      <c r="L45">
        <f t="shared" si="5"/>
        <v>0</v>
      </c>
      <c r="M45">
        <v>44</v>
      </c>
    </row>
    <row r="46" spans="1:16" x14ac:dyDescent="0.3">
      <c r="A46">
        <v>45</v>
      </c>
      <c r="B46">
        <v>87827045270</v>
      </c>
      <c r="C46" t="s">
        <v>585</v>
      </c>
      <c r="E46" t="s">
        <v>586</v>
      </c>
      <c r="F46" t="s">
        <v>587</v>
      </c>
      <c r="G46" t="s">
        <v>29</v>
      </c>
      <c r="H46" t="s">
        <v>29</v>
      </c>
      <c r="I46">
        <f t="shared" si="3"/>
        <v>4</v>
      </c>
      <c r="J46">
        <v>54.1</v>
      </c>
      <c r="K46" t="str">
        <f t="shared" si="4"/>
        <v>Correct</v>
      </c>
      <c r="L46">
        <f t="shared" si="5"/>
        <v>0</v>
      </c>
      <c r="M46">
        <v>45</v>
      </c>
    </row>
    <row r="47" spans="1:16" x14ac:dyDescent="0.3">
      <c r="A47">
        <v>46</v>
      </c>
      <c r="B47">
        <v>87827045271</v>
      </c>
      <c r="C47" t="s">
        <v>588</v>
      </c>
      <c r="E47" t="s">
        <v>589</v>
      </c>
      <c r="F47" t="s">
        <v>590</v>
      </c>
      <c r="G47" t="s">
        <v>48</v>
      </c>
      <c r="H47" t="s">
        <v>48</v>
      </c>
      <c r="I47">
        <f t="shared" si="3"/>
        <v>4</v>
      </c>
      <c r="J47">
        <v>77.7</v>
      </c>
      <c r="K47" t="str">
        <f t="shared" si="4"/>
        <v>Correct</v>
      </c>
      <c r="L47">
        <f t="shared" si="5"/>
        <v>0</v>
      </c>
      <c r="M47">
        <v>46</v>
      </c>
    </row>
    <row r="48" spans="1:16" x14ac:dyDescent="0.3">
      <c r="A48">
        <v>47</v>
      </c>
      <c r="B48">
        <v>87827045272</v>
      </c>
      <c r="C48" t="s">
        <v>591</v>
      </c>
      <c r="E48" t="s">
        <v>592</v>
      </c>
      <c r="F48" t="s">
        <v>593</v>
      </c>
      <c r="G48" t="s">
        <v>29</v>
      </c>
      <c r="H48" t="s">
        <v>29</v>
      </c>
      <c r="I48">
        <f t="shared" si="3"/>
        <v>4</v>
      </c>
      <c r="J48">
        <v>44.5</v>
      </c>
      <c r="K48" t="str">
        <f t="shared" si="4"/>
        <v>Correct</v>
      </c>
      <c r="L48">
        <f t="shared" si="5"/>
        <v>0</v>
      </c>
      <c r="M48">
        <v>47</v>
      </c>
    </row>
    <row r="49" spans="1:16" x14ac:dyDescent="0.3">
      <c r="A49">
        <v>48</v>
      </c>
      <c r="B49">
        <v>87827045273</v>
      </c>
      <c r="C49" t="s">
        <v>594</v>
      </c>
      <c r="E49" t="s">
        <v>595</v>
      </c>
      <c r="F49" t="s">
        <v>581</v>
      </c>
      <c r="G49" t="s">
        <v>26</v>
      </c>
      <c r="H49" t="s">
        <v>26</v>
      </c>
      <c r="I49">
        <f t="shared" si="3"/>
        <v>4</v>
      </c>
      <c r="J49">
        <v>38.9</v>
      </c>
      <c r="K49" t="str">
        <f t="shared" si="4"/>
        <v>Correct</v>
      </c>
      <c r="L49">
        <f t="shared" si="5"/>
        <v>0</v>
      </c>
      <c r="M49">
        <v>48</v>
      </c>
    </row>
    <row r="50" spans="1:16" x14ac:dyDescent="0.3">
      <c r="A50">
        <v>49</v>
      </c>
      <c r="B50">
        <v>87827045274</v>
      </c>
      <c r="C50" t="s">
        <v>596</v>
      </c>
      <c r="E50" t="s">
        <v>597</v>
      </c>
      <c r="F50" t="s">
        <v>598</v>
      </c>
      <c r="G50" t="s">
        <v>48</v>
      </c>
      <c r="H50" t="s">
        <v>48</v>
      </c>
      <c r="I50">
        <f t="shared" si="3"/>
        <v>4</v>
      </c>
      <c r="J50">
        <v>206.5</v>
      </c>
      <c r="K50" t="str">
        <f t="shared" si="4"/>
        <v>Correct</v>
      </c>
      <c r="L50">
        <f t="shared" si="5"/>
        <v>0</v>
      </c>
      <c r="M50">
        <v>49</v>
      </c>
    </row>
    <row r="51" spans="1:16" x14ac:dyDescent="0.3">
      <c r="A51">
        <v>50</v>
      </c>
      <c r="B51">
        <v>87827045275</v>
      </c>
      <c r="C51" t="s">
        <v>599</v>
      </c>
      <c r="E51" t="s">
        <v>600</v>
      </c>
      <c r="F51" t="s">
        <v>601</v>
      </c>
      <c r="G51" t="s">
        <v>29</v>
      </c>
      <c r="H51" t="s">
        <v>29</v>
      </c>
      <c r="I51">
        <f t="shared" si="3"/>
        <v>4</v>
      </c>
      <c r="J51">
        <v>70.599999999999994</v>
      </c>
      <c r="K51" t="str">
        <f t="shared" si="4"/>
        <v>Correct</v>
      </c>
      <c r="L51">
        <f t="shared" si="5"/>
        <v>0</v>
      </c>
      <c r="M51">
        <v>50</v>
      </c>
    </row>
    <row r="52" spans="1:16" x14ac:dyDescent="0.3">
      <c r="A52">
        <v>51</v>
      </c>
      <c r="B52">
        <v>87827045276</v>
      </c>
      <c r="C52" t="s">
        <v>602</v>
      </c>
      <c r="E52" t="s">
        <v>603</v>
      </c>
      <c r="F52" t="s">
        <v>604</v>
      </c>
      <c r="G52" t="s">
        <v>36</v>
      </c>
      <c r="H52" t="s">
        <v>36</v>
      </c>
      <c r="I52">
        <f t="shared" si="3"/>
        <v>4</v>
      </c>
      <c r="J52">
        <v>73.8</v>
      </c>
      <c r="K52" t="str">
        <f t="shared" si="4"/>
        <v>Correct</v>
      </c>
      <c r="L52">
        <f t="shared" si="5"/>
        <v>0</v>
      </c>
      <c r="M52">
        <v>51</v>
      </c>
    </row>
    <row r="53" spans="1:16" x14ac:dyDescent="0.3">
      <c r="A53">
        <v>52</v>
      </c>
      <c r="B53">
        <v>87827045277</v>
      </c>
      <c r="C53" t="s">
        <v>605</v>
      </c>
      <c r="E53" t="s">
        <v>606</v>
      </c>
      <c r="F53" t="s">
        <v>607</v>
      </c>
      <c r="G53" t="s">
        <v>29</v>
      </c>
      <c r="H53" t="s">
        <v>29</v>
      </c>
      <c r="I53">
        <f t="shared" si="3"/>
        <v>4</v>
      </c>
      <c r="J53">
        <v>21.7</v>
      </c>
      <c r="K53" t="str">
        <f t="shared" si="4"/>
        <v>Correct</v>
      </c>
      <c r="L53">
        <f t="shared" si="5"/>
        <v>0</v>
      </c>
      <c r="M53">
        <v>52</v>
      </c>
    </row>
    <row r="54" spans="1:16" x14ac:dyDescent="0.3">
      <c r="A54">
        <v>53</v>
      </c>
      <c r="B54">
        <v>87827045278</v>
      </c>
      <c r="C54" t="s">
        <v>608</v>
      </c>
      <c r="E54" t="s">
        <v>609</v>
      </c>
      <c r="F54" t="s">
        <v>610</v>
      </c>
      <c r="G54" t="s">
        <v>36</v>
      </c>
      <c r="H54" t="s">
        <v>36</v>
      </c>
      <c r="I54">
        <f t="shared" si="3"/>
        <v>4</v>
      </c>
      <c r="J54">
        <v>17.100000000000001</v>
      </c>
      <c r="K54" t="str">
        <f t="shared" si="4"/>
        <v>Correct</v>
      </c>
      <c r="L54">
        <f t="shared" si="5"/>
        <v>0</v>
      </c>
      <c r="M54">
        <v>53</v>
      </c>
    </row>
    <row r="55" spans="1:16" x14ac:dyDescent="0.3">
      <c r="A55">
        <v>54</v>
      </c>
      <c r="B55">
        <v>87827045279</v>
      </c>
      <c r="C55" t="s">
        <v>611</v>
      </c>
      <c r="D55" t="s">
        <v>480</v>
      </c>
      <c r="E55" t="s">
        <v>612</v>
      </c>
      <c r="F55" t="s">
        <v>613</v>
      </c>
      <c r="G55" t="s">
        <v>26</v>
      </c>
      <c r="H55" t="s">
        <v>26</v>
      </c>
      <c r="I55">
        <f t="shared" si="3"/>
        <v>4</v>
      </c>
      <c r="J55">
        <v>107.2</v>
      </c>
      <c r="K55" t="str">
        <f t="shared" si="4"/>
        <v>Correct</v>
      </c>
      <c r="L55">
        <f t="shared" si="5"/>
        <v>0</v>
      </c>
      <c r="M55">
        <v>54</v>
      </c>
      <c r="O55">
        <v>54</v>
      </c>
      <c r="P55" t="s">
        <v>614</v>
      </c>
    </row>
    <row r="56" spans="1:16" x14ac:dyDescent="0.3">
      <c r="A56">
        <v>55</v>
      </c>
      <c r="B56">
        <v>87827045280</v>
      </c>
      <c r="C56" t="s">
        <v>615</v>
      </c>
      <c r="E56" t="s">
        <v>616</v>
      </c>
      <c r="F56" t="s">
        <v>617</v>
      </c>
      <c r="G56" t="s">
        <v>26</v>
      </c>
      <c r="H56" t="s">
        <v>26</v>
      </c>
      <c r="I56">
        <f t="shared" si="3"/>
        <v>4</v>
      </c>
      <c r="J56">
        <v>91.7</v>
      </c>
      <c r="K56" t="str">
        <f t="shared" si="4"/>
        <v>Correct</v>
      </c>
      <c r="L56">
        <f t="shared" si="5"/>
        <v>0</v>
      </c>
      <c r="M56">
        <v>55</v>
      </c>
    </row>
    <row r="57" spans="1:16" x14ac:dyDescent="0.3">
      <c r="A57">
        <v>56</v>
      </c>
      <c r="B57">
        <v>87827045281</v>
      </c>
      <c r="C57" t="s">
        <v>618</v>
      </c>
      <c r="D57" t="s">
        <v>480</v>
      </c>
      <c r="E57" t="s">
        <v>619</v>
      </c>
      <c r="F57" t="s">
        <v>620</v>
      </c>
      <c r="G57" t="s">
        <v>29</v>
      </c>
      <c r="H57" t="s">
        <v>26</v>
      </c>
      <c r="I57">
        <f t="shared" si="3"/>
        <v>-1</v>
      </c>
      <c r="J57">
        <v>698.2</v>
      </c>
      <c r="K57" t="str">
        <f t="shared" si="4"/>
        <v>Incorrect</v>
      </c>
      <c r="L57">
        <f t="shared" si="5"/>
        <v>1</v>
      </c>
      <c r="M57">
        <v>56</v>
      </c>
      <c r="N57">
        <v>56</v>
      </c>
      <c r="O57">
        <v>56</v>
      </c>
      <c r="P57" t="s">
        <v>621</v>
      </c>
    </row>
    <row r="58" spans="1:16" x14ac:dyDescent="0.3">
      <c r="A58">
        <v>57</v>
      </c>
      <c r="B58">
        <v>87827045282</v>
      </c>
      <c r="C58" t="s">
        <v>622</v>
      </c>
      <c r="E58" t="s">
        <v>623</v>
      </c>
      <c r="F58" t="s">
        <v>624</v>
      </c>
      <c r="G58" t="s">
        <v>48</v>
      </c>
      <c r="H58" t="s">
        <v>29</v>
      </c>
      <c r="I58">
        <f t="shared" si="3"/>
        <v>-1</v>
      </c>
      <c r="J58">
        <v>121.1</v>
      </c>
      <c r="K58" t="str">
        <f t="shared" si="4"/>
        <v>Incorrect</v>
      </c>
      <c r="L58">
        <f t="shared" si="5"/>
        <v>1</v>
      </c>
      <c r="M58">
        <v>57</v>
      </c>
      <c r="N58">
        <v>57</v>
      </c>
      <c r="O58">
        <v>57</v>
      </c>
      <c r="P58" t="s">
        <v>625</v>
      </c>
    </row>
    <row r="59" spans="1:16" x14ac:dyDescent="0.3">
      <c r="A59">
        <v>58</v>
      </c>
      <c r="B59">
        <v>87827045283</v>
      </c>
      <c r="C59" t="s">
        <v>626</v>
      </c>
      <c r="E59" t="s">
        <v>627</v>
      </c>
      <c r="F59" t="s">
        <v>628</v>
      </c>
      <c r="G59" t="s">
        <v>26</v>
      </c>
      <c r="H59" t="s">
        <v>26</v>
      </c>
      <c r="I59">
        <f t="shared" si="3"/>
        <v>4</v>
      </c>
      <c r="J59">
        <v>14.7</v>
      </c>
      <c r="K59" t="str">
        <f t="shared" si="4"/>
        <v>Correct</v>
      </c>
      <c r="L59">
        <f t="shared" si="5"/>
        <v>0</v>
      </c>
      <c r="M59">
        <v>58</v>
      </c>
    </row>
    <row r="60" spans="1:16" x14ac:dyDescent="0.3">
      <c r="A60">
        <v>59</v>
      </c>
      <c r="B60">
        <v>87827045284</v>
      </c>
      <c r="C60" t="s">
        <v>629</v>
      </c>
      <c r="E60" t="s">
        <v>630</v>
      </c>
      <c r="F60" t="s">
        <v>631</v>
      </c>
      <c r="G60" t="s">
        <v>36</v>
      </c>
      <c r="H60" t="s">
        <v>36</v>
      </c>
      <c r="I60">
        <f t="shared" si="3"/>
        <v>4</v>
      </c>
      <c r="J60">
        <v>59.9</v>
      </c>
      <c r="K60" t="str">
        <f t="shared" si="4"/>
        <v>Correct</v>
      </c>
      <c r="L60">
        <f t="shared" si="5"/>
        <v>0</v>
      </c>
      <c r="M60">
        <v>59</v>
      </c>
    </row>
    <row r="61" spans="1:16" x14ac:dyDescent="0.3">
      <c r="A61">
        <v>60</v>
      </c>
      <c r="B61">
        <v>87827045285</v>
      </c>
      <c r="C61" t="s">
        <v>632</v>
      </c>
      <c r="E61" t="s">
        <v>28</v>
      </c>
      <c r="F61" t="s">
        <v>633</v>
      </c>
      <c r="G61" t="s">
        <v>634</v>
      </c>
      <c r="H61" t="s">
        <v>48</v>
      </c>
      <c r="I61">
        <f t="shared" si="3"/>
        <v>-1</v>
      </c>
      <c r="J61">
        <v>15</v>
      </c>
      <c r="K61" t="str">
        <f t="shared" si="4"/>
        <v>Incorrect</v>
      </c>
      <c r="L61">
        <f t="shared" si="5"/>
        <v>1</v>
      </c>
      <c r="M61">
        <v>60</v>
      </c>
    </row>
    <row r="62" spans="1:16" x14ac:dyDescent="0.3">
      <c r="A62">
        <v>61</v>
      </c>
      <c r="B62">
        <v>87827045286</v>
      </c>
      <c r="C62" t="s">
        <v>635</v>
      </c>
      <c r="D62" t="s">
        <v>480</v>
      </c>
      <c r="E62" t="s">
        <v>636</v>
      </c>
      <c r="F62" t="s">
        <v>637</v>
      </c>
      <c r="G62" t="s">
        <v>48</v>
      </c>
      <c r="H62" t="s">
        <v>48</v>
      </c>
      <c r="I62">
        <f t="shared" si="3"/>
        <v>4</v>
      </c>
      <c r="J62">
        <v>81.7</v>
      </c>
      <c r="K62" t="str">
        <f t="shared" si="4"/>
        <v>Correct</v>
      </c>
      <c r="L62">
        <f t="shared" si="5"/>
        <v>0</v>
      </c>
      <c r="M62">
        <v>61</v>
      </c>
      <c r="O62">
        <v>61</v>
      </c>
      <c r="P62" t="s">
        <v>638</v>
      </c>
    </row>
    <row r="63" spans="1:16" x14ac:dyDescent="0.3">
      <c r="A63">
        <v>62</v>
      </c>
      <c r="B63">
        <v>87827045287</v>
      </c>
      <c r="C63" t="s">
        <v>639</v>
      </c>
      <c r="E63" t="s">
        <v>640</v>
      </c>
      <c r="F63" t="s">
        <v>641</v>
      </c>
      <c r="G63" t="s">
        <v>26</v>
      </c>
      <c r="H63" t="s">
        <v>26</v>
      </c>
      <c r="I63">
        <f t="shared" si="3"/>
        <v>4</v>
      </c>
      <c r="J63">
        <v>53.4</v>
      </c>
      <c r="K63" t="str">
        <f t="shared" si="4"/>
        <v>Correct</v>
      </c>
      <c r="L63">
        <f t="shared" si="5"/>
        <v>0</v>
      </c>
      <c r="M63">
        <v>62</v>
      </c>
    </row>
    <row r="64" spans="1:16" x14ac:dyDescent="0.3">
      <c r="A64">
        <v>63</v>
      </c>
      <c r="B64">
        <v>87827045288</v>
      </c>
      <c r="C64" t="s">
        <v>642</v>
      </c>
      <c r="E64" t="s">
        <v>643</v>
      </c>
      <c r="F64" t="s">
        <v>267</v>
      </c>
      <c r="G64" t="s">
        <v>36</v>
      </c>
      <c r="H64" t="s">
        <v>36</v>
      </c>
      <c r="I64">
        <f t="shared" si="3"/>
        <v>4</v>
      </c>
      <c r="J64">
        <v>48.7</v>
      </c>
      <c r="K64" t="str">
        <f t="shared" si="4"/>
        <v>Correct</v>
      </c>
      <c r="L64">
        <f t="shared" si="5"/>
        <v>0</v>
      </c>
      <c r="M64">
        <v>63</v>
      </c>
    </row>
    <row r="65" spans="1:16" x14ac:dyDescent="0.3">
      <c r="A65">
        <v>64</v>
      </c>
      <c r="B65">
        <v>87827045289</v>
      </c>
      <c r="C65" t="s">
        <v>644</v>
      </c>
      <c r="E65" t="s">
        <v>645</v>
      </c>
      <c r="F65" t="s">
        <v>641</v>
      </c>
      <c r="G65" t="s">
        <v>36</v>
      </c>
      <c r="H65" t="s">
        <v>36</v>
      </c>
      <c r="I65">
        <f t="shared" si="3"/>
        <v>4</v>
      </c>
      <c r="J65">
        <v>41.2</v>
      </c>
      <c r="K65" t="str">
        <f t="shared" si="4"/>
        <v>Correct</v>
      </c>
      <c r="L65">
        <f t="shared" si="5"/>
        <v>0</v>
      </c>
      <c r="M65">
        <v>64</v>
      </c>
    </row>
    <row r="66" spans="1:16" x14ac:dyDescent="0.3">
      <c r="A66">
        <v>65</v>
      </c>
      <c r="B66">
        <v>87827045290</v>
      </c>
      <c r="C66" t="s">
        <v>646</v>
      </c>
      <c r="E66" t="s">
        <v>28</v>
      </c>
      <c r="F66" t="s">
        <v>633</v>
      </c>
      <c r="G66" t="s">
        <v>634</v>
      </c>
      <c r="H66" t="s">
        <v>29</v>
      </c>
      <c r="I66">
        <f t="shared" ref="I66:I76" si="6">IF(K66="Correct", 4, IF(K66="Incorrect", -1, 0))</f>
        <v>-1</v>
      </c>
      <c r="J66">
        <v>32.9</v>
      </c>
      <c r="K66" t="str">
        <f t="shared" ref="K66:K76" si="7">IF(OR(ISBLANK(H66), H66="Not Attempted", H66=""), "Unattempted", IF(H66=G66, "Correct", "Incorrect"))</f>
        <v>Incorrect</v>
      </c>
      <c r="L66">
        <f t="shared" ref="L66:L76" si="8">IF(K66="Incorrect", 1, 0)</f>
        <v>1</v>
      </c>
      <c r="M66">
        <v>65</v>
      </c>
    </row>
    <row r="67" spans="1:16" x14ac:dyDescent="0.3">
      <c r="A67">
        <v>66</v>
      </c>
      <c r="B67">
        <v>87827045291</v>
      </c>
      <c r="C67" t="s">
        <v>647</v>
      </c>
      <c r="D67" t="s">
        <v>480</v>
      </c>
      <c r="E67" t="s">
        <v>648</v>
      </c>
      <c r="F67" t="s">
        <v>649</v>
      </c>
      <c r="G67" t="s">
        <v>29</v>
      </c>
      <c r="H67" t="s">
        <v>29</v>
      </c>
      <c r="I67">
        <f t="shared" si="6"/>
        <v>4</v>
      </c>
      <c r="J67">
        <v>77.099999999999994</v>
      </c>
      <c r="K67" t="str">
        <f t="shared" si="7"/>
        <v>Correct</v>
      </c>
      <c r="L67">
        <f t="shared" si="8"/>
        <v>0</v>
      </c>
      <c r="M67">
        <v>66</v>
      </c>
      <c r="O67">
        <v>66</v>
      </c>
      <c r="P67" t="s">
        <v>650</v>
      </c>
    </row>
    <row r="68" spans="1:16" x14ac:dyDescent="0.3">
      <c r="A68">
        <v>67</v>
      </c>
      <c r="B68">
        <v>87827045292</v>
      </c>
      <c r="C68" t="s">
        <v>651</v>
      </c>
      <c r="E68" t="s">
        <v>652</v>
      </c>
      <c r="F68" t="s">
        <v>653</v>
      </c>
      <c r="G68" t="s">
        <v>48</v>
      </c>
      <c r="H68" t="s">
        <v>48</v>
      </c>
      <c r="I68">
        <f t="shared" si="6"/>
        <v>4</v>
      </c>
      <c r="J68">
        <v>62.5</v>
      </c>
      <c r="K68" t="str">
        <f t="shared" si="7"/>
        <v>Correct</v>
      </c>
      <c r="L68">
        <f t="shared" si="8"/>
        <v>0</v>
      </c>
      <c r="M68">
        <v>67</v>
      </c>
    </row>
    <row r="69" spans="1:16" x14ac:dyDescent="0.3">
      <c r="A69">
        <v>68</v>
      </c>
      <c r="B69">
        <v>87827045293</v>
      </c>
      <c r="C69" t="s">
        <v>654</v>
      </c>
      <c r="E69" t="s">
        <v>655</v>
      </c>
      <c r="F69" t="s">
        <v>540</v>
      </c>
      <c r="G69" t="s">
        <v>26</v>
      </c>
      <c r="H69" t="s">
        <v>26</v>
      </c>
      <c r="I69">
        <f t="shared" si="6"/>
        <v>4</v>
      </c>
      <c r="J69">
        <v>42.5</v>
      </c>
      <c r="K69" t="str">
        <f t="shared" si="7"/>
        <v>Correct</v>
      </c>
      <c r="L69">
        <f t="shared" si="8"/>
        <v>0</v>
      </c>
      <c r="M69">
        <v>68</v>
      </c>
    </row>
    <row r="70" spans="1:16" x14ac:dyDescent="0.3">
      <c r="A70">
        <v>69</v>
      </c>
      <c r="B70">
        <v>87827045294</v>
      </c>
      <c r="C70" t="s">
        <v>656</v>
      </c>
      <c r="D70" t="s">
        <v>480</v>
      </c>
      <c r="E70" t="s">
        <v>657</v>
      </c>
      <c r="F70" t="s">
        <v>658</v>
      </c>
      <c r="G70" t="s">
        <v>26</v>
      </c>
      <c r="H70" t="s">
        <v>36</v>
      </c>
      <c r="I70">
        <f t="shared" si="6"/>
        <v>-1</v>
      </c>
      <c r="J70">
        <v>206.4</v>
      </c>
      <c r="K70" t="str">
        <f t="shared" si="7"/>
        <v>Incorrect</v>
      </c>
      <c r="L70">
        <f t="shared" si="8"/>
        <v>1</v>
      </c>
      <c r="M70">
        <v>69</v>
      </c>
      <c r="N70">
        <v>69</v>
      </c>
      <c r="O70">
        <v>69</v>
      </c>
      <c r="P70" t="s">
        <v>659</v>
      </c>
    </row>
    <row r="71" spans="1:16" x14ac:dyDescent="0.3">
      <c r="A71">
        <v>70</v>
      </c>
      <c r="B71">
        <v>87827045295</v>
      </c>
      <c r="C71" t="s">
        <v>660</v>
      </c>
      <c r="E71" t="s">
        <v>661</v>
      </c>
      <c r="F71" t="s">
        <v>587</v>
      </c>
      <c r="G71" t="s">
        <v>48</v>
      </c>
      <c r="H71" t="s">
        <v>48</v>
      </c>
      <c r="I71">
        <f t="shared" si="6"/>
        <v>4</v>
      </c>
      <c r="J71">
        <v>18.899999999999999</v>
      </c>
      <c r="K71" t="str">
        <f t="shared" si="7"/>
        <v>Correct</v>
      </c>
      <c r="L71">
        <f t="shared" si="8"/>
        <v>0</v>
      </c>
      <c r="M71">
        <v>70</v>
      </c>
    </row>
    <row r="72" spans="1:16" x14ac:dyDescent="0.3">
      <c r="A72">
        <v>71</v>
      </c>
      <c r="B72">
        <v>87827045296</v>
      </c>
      <c r="C72" t="s">
        <v>662</v>
      </c>
      <c r="E72" t="s">
        <v>663</v>
      </c>
      <c r="F72" t="s">
        <v>664</v>
      </c>
      <c r="G72" t="s">
        <v>36</v>
      </c>
      <c r="H72" t="s">
        <v>36</v>
      </c>
      <c r="I72">
        <f t="shared" si="6"/>
        <v>4</v>
      </c>
      <c r="J72">
        <v>48.9</v>
      </c>
      <c r="K72" t="str">
        <f t="shared" si="7"/>
        <v>Correct</v>
      </c>
      <c r="L72">
        <f t="shared" si="8"/>
        <v>0</v>
      </c>
      <c r="M72">
        <v>71</v>
      </c>
    </row>
    <row r="73" spans="1:16" x14ac:dyDescent="0.3">
      <c r="A73">
        <v>72</v>
      </c>
      <c r="B73">
        <v>87827045297</v>
      </c>
      <c r="C73" t="s">
        <v>665</v>
      </c>
      <c r="E73" t="s">
        <v>666</v>
      </c>
      <c r="F73" t="s">
        <v>667</v>
      </c>
      <c r="G73" t="s">
        <v>29</v>
      </c>
      <c r="H73" t="s">
        <v>29</v>
      </c>
      <c r="I73">
        <f t="shared" si="6"/>
        <v>4</v>
      </c>
      <c r="J73">
        <v>249.6</v>
      </c>
      <c r="K73" t="str">
        <f t="shared" si="7"/>
        <v>Correct</v>
      </c>
      <c r="L73">
        <f t="shared" si="8"/>
        <v>0</v>
      </c>
      <c r="M73">
        <v>72</v>
      </c>
    </row>
    <row r="74" spans="1:16" x14ac:dyDescent="0.3">
      <c r="A74">
        <v>73</v>
      </c>
      <c r="B74">
        <v>87827045298</v>
      </c>
      <c r="C74" t="s">
        <v>668</v>
      </c>
      <c r="E74" t="s">
        <v>669</v>
      </c>
      <c r="F74" t="s">
        <v>670</v>
      </c>
      <c r="G74" t="s">
        <v>48</v>
      </c>
      <c r="H74" t="s">
        <v>48</v>
      </c>
      <c r="I74">
        <f t="shared" si="6"/>
        <v>4</v>
      </c>
      <c r="J74">
        <v>3.5</v>
      </c>
      <c r="K74" t="str">
        <f t="shared" si="7"/>
        <v>Correct</v>
      </c>
      <c r="L74">
        <f t="shared" si="8"/>
        <v>0</v>
      </c>
      <c r="M74">
        <v>73</v>
      </c>
    </row>
    <row r="75" spans="1:16" x14ac:dyDescent="0.3">
      <c r="A75">
        <v>74</v>
      </c>
      <c r="B75">
        <v>87827045299</v>
      </c>
      <c r="C75" t="s">
        <v>671</v>
      </c>
      <c r="E75" t="s">
        <v>672</v>
      </c>
      <c r="F75" t="s">
        <v>637</v>
      </c>
      <c r="G75" t="s">
        <v>26</v>
      </c>
      <c r="H75" t="s">
        <v>26</v>
      </c>
      <c r="I75">
        <f t="shared" si="6"/>
        <v>4</v>
      </c>
      <c r="J75">
        <v>97.5</v>
      </c>
      <c r="K75" t="str">
        <f t="shared" si="7"/>
        <v>Correct</v>
      </c>
      <c r="L75">
        <f t="shared" si="8"/>
        <v>0</v>
      </c>
      <c r="M75">
        <v>74</v>
      </c>
    </row>
    <row r="76" spans="1:16" x14ac:dyDescent="0.3">
      <c r="A76">
        <v>75</v>
      </c>
      <c r="B76">
        <v>87827045300</v>
      </c>
      <c r="C76" t="s">
        <v>673</v>
      </c>
      <c r="E76" t="s">
        <v>674</v>
      </c>
      <c r="F76" t="s">
        <v>675</v>
      </c>
      <c r="G76" t="s">
        <v>29</v>
      </c>
      <c r="H76" t="s">
        <v>29</v>
      </c>
      <c r="I76">
        <f t="shared" si="6"/>
        <v>4</v>
      </c>
      <c r="J76">
        <v>146.6</v>
      </c>
      <c r="K76" t="str">
        <f t="shared" si="7"/>
        <v>Correct</v>
      </c>
      <c r="L76">
        <f t="shared" si="8"/>
        <v>0</v>
      </c>
      <c r="M76">
        <v>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6"/>
  <sheetViews>
    <sheetView tabSelected="1" topLeftCell="A43" zoomScale="56" workbookViewId="0">
      <selection activeCell="C79" sqref="C79"/>
    </sheetView>
  </sheetViews>
  <sheetFormatPr defaultRowHeight="14.4" x14ac:dyDescent="0.3"/>
  <cols>
    <col min="1" max="1" width="12" customWidth="1"/>
    <col min="2" max="2" width="60" customWidth="1"/>
    <col min="3" max="3" width="68" customWidth="1"/>
    <col min="4" max="4" width="60" customWidth="1"/>
    <col min="5" max="5" width="19" customWidth="1"/>
    <col min="6" max="6" width="16" customWidth="1"/>
    <col min="7" max="7" width="15" customWidth="1"/>
    <col min="8" max="11" width="12" customWidth="1"/>
    <col min="12" max="12" width="16" customWidth="1"/>
    <col min="13" max="14" width="60" customWidth="1"/>
    <col min="15" max="15" width="15" customWidth="1"/>
    <col min="16" max="16" width="60" customWidth="1"/>
  </cols>
  <sheetData>
    <row r="1" spans="1:16" x14ac:dyDescent="0.3">
      <c r="A1" s="4" t="s">
        <v>676</v>
      </c>
      <c r="B1" s="4" t="s">
        <v>9</v>
      </c>
      <c r="C1" s="4" t="s">
        <v>440</v>
      </c>
      <c r="D1" s="4" t="s">
        <v>10</v>
      </c>
      <c r="E1" s="4" t="s">
        <v>11</v>
      </c>
      <c r="F1" s="4" t="s">
        <v>437</v>
      </c>
      <c r="G1" s="4" t="s">
        <v>677</v>
      </c>
      <c r="H1" s="4" t="s">
        <v>439</v>
      </c>
      <c r="I1" s="4" t="s">
        <v>15</v>
      </c>
      <c r="J1" s="4" t="s">
        <v>16</v>
      </c>
      <c r="K1" s="4" t="s">
        <v>17</v>
      </c>
      <c r="L1" s="4" t="s">
        <v>18</v>
      </c>
      <c r="M1" s="4" t="s">
        <v>19</v>
      </c>
      <c r="N1" s="4" t="s">
        <v>20</v>
      </c>
      <c r="O1" s="4" t="s">
        <v>21</v>
      </c>
      <c r="P1" s="4" t="s">
        <v>22</v>
      </c>
    </row>
    <row r="2" spans="1:16" x14ac:dyDescent="0.3">
      <c r="A2">
        <v>1</v>
      </c>
      <c r="B2">
        <v>7396761131</v>
      </c>
      <c r="D2" t="s">
        <v>678</v>
      </c>
      <c r="E2">
        <v>7396764504</v>
      </c>
      <c r="F2" t="s">
        <v>679</v>
      </c>
      <c r="G2" t="s">
        <v>26</v>
      </c>
      <c r="H2" t="s">
        <v>26</v>
      </c>
      <c r="I2">
        <f t="shared" ref="I2:I33" si="0">IF(K2="Correct", 4, IF(K2="Incorrect", -1, 0))</f>
        <v>4</v>
      </c>
      <c r="J2">
        <v>45.5</v>
      </c>
      <c r="K2" t="str">
        <f t="shared" ref="K2:K33" si="1">IF(OR(ISBLANK(H2), H2="Not Attempted", H2=""), "Unattempted", IF(H2=G2, "Correct", "Incorrect"))</f>
        <v>Correct</v>
      </c>
      <c r="L2">
        <f t="shared" ref="L2:L33" si="2">IF(K2="Incorrect", 1, 0)</f>
        <v>0</v>
      </c>
      <c r="M2">
        <v>1</v>
      </c>
      <c r="O2" t="s">
        <v>634</v>
      </c>
    </row>
    <row r="3" spans="1:16" x14ac:dyDescent="0.3">
      <c r="A3">
        <v>2</v>
      </c>
      <c r="B3">
        <v>7396761132</v>
      </c>
      <c r="D3" t="s">
        <v>680</v>
      </c>
      <c r="E3">
        <v>7396764508</v>
      </c>
      <c r="F3" t="s">
        <v>681</v>
      </c>
      <c r="G3" t="s">
        <v>26</v>
      </c>
      <c r="H3" t="s">
        <v>26</v>
      </c>
      <c r="I3">
        <f t="shared" si="0"/>
        <v>4</v>
      </c>
      <c r="J3">
        <v>6.1</v>
      </c>
      <c r="K3" t="str">
        <f t="shared" si="1"/>
        <v>Correct</v>
      </c>
      <c r="L3">
        <f t="shared" si="2"/>
        <v>0</v>
      </c>
      <c r="M3">
        <v>2</v>
      </c>
      <c r="O3" t="s">
        <v>634</v>
      </c>
    </row>
    <row r="4" spans="1:16" x14ac:dyDescent="0.3">
      <c r="A4">
        <v>3</v>
      </c>
      <c r="B4">
        <v>7396761133</v>
      </c>
      <c r="D4" t="s">
        <v>682</v>
      </c>
      <c r="E4">
        <v>7396764512</v>
      </c>
      <c r="F4" t="s">
        <v>683</v>
      </c>
      <c r="G4" t="s">
        <v>26</v>
      </c>
      <c r="H4" t="s">
        <v>26</v>
      </c>
      <c r="I4">
        <f t="shared" si="0"/>
        <v>4</v>
      </c>
      <c r="J4">
        <v>16.7</v>
      </c>
      <c r="K4" t="str">
        <f t="shared" si="1"/>
        <v>Correct</v>
      </c>
      <c r="L4">
        <f t="shared" si="2"/>
        <v>0</v>
      </c>
      <c r="M4">
        <v>3</v>
      </c>
      <c r="O4" t="s">
        <v>634</v>
      </c>
    </row>
    <row r="5" spans="1:16" x14ac:dyDescent="0.3">
      <c r="A5">
        <v>4</v>
      </c>
      <c r="B5">
        <v>7396761134</v>
      </c>
      <c r="D5" t="s">
        <v>684</v>
      </c>
      <c r="E5">
        <v>7396764516</v>
      </c>
      <c r="F5" t="s">
        <v>685</v>
      </c>
      <c r="G5" t="s">
        <v>26</v>
      </c>
      <c r="H5" t="s">
        <v>26</v>
      </c>
      <c r="I5">
        <f t="shared" si="0"/>
        <v>4</v>
      </c>
      <c r="J5">
        <v>24.5</v>
      </c>
      <c r="K5" t="str">
        <f t="shared" si="1"/>
        <v>Correct</v>
      </c>
      <c r="L5">
        <f t="shared" si="2"/>
        <v>0</v>
      </c>
      <c r="M5">
        <v>4</v>
      </c>
      <c r="O5" t="s">
        <v>634</v>
      </c>
    </row>
    <row r="6" spans="1:16" x14ac:dyDescent="0.3">
      <c r="A6">
        <v>5</v>
      </c>
      <c r="B6">
        <v>7396761135</v>
      </c>
      <c r="D6" t="s">
        <v>686</v>
      </c>
      <c r="E6">
        <v>7396764519</v>
      </c>
      <c r="F6" t="s">
        <v>687</v>
      </c>
      <c r="G6" t="s">
        <v>36</v>
      </c>
      <c r="H6" t="s">
        <v>36</v>
      </c>
      <c r="I6">
        <f t="shared" si="0"/>
        <v>4</v>
      </c>
      <c r="J6">
        <v>15.8</v>
      </c>
      <c r="K6" t="str">
        <f t="shared" si="1"/>
        <v>Correct</v>
      </c>
      <c r="L6">
        <f t="shared" si="2"/>
        <v>0</v>
      </c>
      <c r="M6">
        <v>5</v>
      </c>
      <c r="O6" t="s">
        <v>634</v>
      </c>
    </row>
    <row r="7" spans="1:16" x14ac:dyDescent="0.3">
      <c r="A7">
        <v>6</v>
      </c>
      <c r="B7">
        <v>7396761136</v>
      </c>
      <c r="D7" t="s">
        <v>688</v>
      </c>
      <c r="E7">
        <v>7396764524</v>
      </c>
      <c r="F7" t="s">
        <v>689</v>
      </c>
      <c r="G7" t="s">
        <v>26</v>
      </c>
      <c r="H7" t="s">
        <v>26</v>
      </c>
      <c r="I7">
        <f t="shared" si="0"/>
        <v>4</v>
      </c>
      <c r="J7">
        <v>10.6</v>
      </c>
      <c r="K7" t="str">
        <f t="shared" si="1"/>
        <v>Correct</v>
      </c>
      <c r="L7">
        <f t="shared" si="2"/>
        <v>0</v>
      </c>
      <c r="M7">
        <v>6</v>
      </c>
      <c r="O7" t="s">
        <v>634</v>
      </c>
    </row>
    <row r="8" spans="1:16" x14ac:dyDescent="0.3">
      <c r="A8">
        <v>7</v>
      </c>
      <c r="B8">
        <v>7396761137</v>
      </c>
      <c r="C8">
        <v>7</v>
      </c>
      <c r="D8" t="s">
        <v>690</v>
      </c>
      <c r="E8">
        <v>7396764525</v>
      </c>
      <c r="F8" t="s">
        <v>691</v>
      </c>
      <c r="G8" t="s">
        <v>29</v>
      </c>
      <c r="H8" t="s">
        <v>36</v>
      </c>
      <c r="I8">
        <f t="shared" si="0"/>
        <v>-1</v>
      </c>
      <c r="J8">
        <v>7.1</v>
      </c>
      <c r="K8" t="str">
        <f t="shared" si="1"/>
        <v>Incorrect</v>
      </c>
      <c r="L8">
        <f t="shared" si="2"/>
        <v>1</v>
      </c>
      <c r="M8">
        <v>7</v>
      </c>
      <c r="N8">
        <v>7</v>
      </c>
      <c r="O8" t="s">
        <v>634</v>
      </c>
      <c r="P8" t="s">
        <v>692</v>
      </c>
    </row>
    <row r="9" spans="1:16" x14ac:dyDescent="0.3">
      <c r="A9">
        <v>8</v>
      </c>
      <c r="B9">
        <v>7396761138</v>
      </c>
      <c r="D9" t="s">
        <v>693</v>
      </c>
      <c r="E9">
        <v>7396764529</v>
      </c>
      <c r="F9" t="s">
        <v>694</v>
      </c>
      <c r="G9" t="s">
        <v>29</v>
      </c>
      <c r="H9" t="s">
        <v>29</v>
      </c>
      <c r="I9">
        <f t="shared" si="0"/>
        <v>4</v>
      </c>
      <c r="J9">
        <v>10.9</v>
      </c>
      <c r="K9" t="str">
        <f t="shared" si="1"/>
        <v>Correct</v>
      </c>
      <c r="L9">
        <f t="shared" si="2"/>
        <v>0</v>
      </c>
      <c r="M9">
        <v>8</v>
      </c>
      <c r="O9" t="s">
        <v>634</v>
      </c>
    </row>
    <row r="10" spans="1:16" x14ac:dyDescent="0.3">
      <c r="A10">
        <v>9</v>
      </c>
      <c r="B10">
        <v>7396761139</v>
      </c>
      <c r="D10" t="s">
        <v>695</v>
      </c>
      <c r="E10">
        <v>7396764536</v>
      </c>
      <c r="F10" t="s">
        <v>696</v>
      </c>
      <c r="G10" t="s">
        <v>26</v>
      </c>
      <c r="H10" t="s">
        <v>26</v>
      </c>
      <c r="I10">
        <f t="shared" si="0"/>
        <v>4</v>
      </c>
      <c r="J10">
        <v>28.8</v>
      </c>
      <c r="K10" t="str">
        <f t="shared" si="1"/>
        <v>Correct</v>
      </c>
      <c r="L10">
        <f t="shared" si="2"/>
        <v>0</v>
      </c>
      <c r="M10">
        <v>9</v>
      </c>
      <c r="O10" t="s">
        <v>634</v>
      </c>
    </row>
    <row r="11" spans="1:16" x14ac:dyDescent="0.3">
      <c r="A11">
        <v>10</v>
      </c>
      <c r="B11">
        <v>7396761140</v>
      </c>
      <c r="D11" t="s">
        <v>697</v>
      </c>
      <c r="E11">
        <v>7396764540</v>
      </c>
      <c r="F11" t="s">
        <v>698</v>
      </c>
      <c r="G11" t="s">
        <v>26</v>
      </c>
      <c r="H11" t="s">
        <v>26</v>
      </c>
      <c r="I11">
        <f t="shared" si="0"/>
        <v>4</v>
      </c>
      <c r="J11">
        <v>10.5</v>
      </c>
      <c r="K11" t="str">
        <f t="shared" si="1"/>
        <v>Correct</v>
      </c>
      <c r="L11">
        <f t="shared" si="2"/>
        <v>0</v>
      </c>
      <c r="M11">
        <v>10</v>
      </c>
      <c r="O11" t="s">
        <v>634</v>
      </c>
    </row>
    <row r="12" spans="1:16" x14ac:dyDescent="0.3">
      <c r="A12">
        <v>11</v>
      </c>
      <c r="B12">
        <v>7396761141</v>
      </c>
      <c r="C12">
        <v>11</v>
      </c>
      <c r="D12" t="s">
        <v>699</v>
      </c>
      <c r="E12">
        <v>7396764543</v>
      </c>
      <c r="F12" t="s">
        <v>700</v>
      </c>
      <c r="G12" t="s">
        <v>36</v>
      </c>
      <c r="H12" t="s">
        <v>29</v>
      </c>
      <c r="I12">
        <f t="shared" si="0"/>
        <v>-1</v>
      </c>
      <c r="J12">
        <v>59.8</v>
      </c>
      <c r="K12" t="str">
        <f t="shared" si="1"/>
        <v>Incorrect</v>
      </c>
      <c r="L12">
        <f t="shared" si="2"/>
        <v>1</v>
      </c>
      <c r="M12">
        <v>11</v>
      </c>
      <c r="N12">
        <v>11</v>
      </c>
      <c r="O12" t="s">
        <v>701</v>
      </c>
      <c r="P12" t="s">
        <v>702</v>
      </c>
    </row>
    <row r="13" spans="1:16" x14ac:dyDescent="0.3">
      <c r="A13">
        <v>12</v>
      </c>
      <c r="B13">
        <v>7396761142</v>
      </c>
      <c r="D13" t="s">
        <v>703</v>
      </c>
      <c r="E13">
        <v>7396764546</v>
      </c>
      <c r="F13" t="s">
        <v>704</v>
      </c>
      <c r="G13" t="s">
        <v>48</v>
      </c>
      <c r="H13" t="s">
        <v>48</v>
      </c>
      <c r="I13">
        <f t="shared" si="0"/>
        <v>4</v>
      </c>
      <c r="J13">
        <v>103.4</v>
      </c>
      <c r="K13" t="str">
        <f t="shared" si="1"/>
        <v>Correct</v>
      </c>
      <c r="L13">
        <f t="shared" si="2"/>
        <v>0</v>
      </c>
      <c r="M13">
        <v>12</v>
      </c>
      <c r="O13" t="s">
        <v>634</v>
      </c>
    </row>
    <row r="14" spans="1:16" x14ac:dyDescent="0.3">
      <c r="A14">
        <v>13</v>
      </c>
      <c r="B14">
        <v>7396761143</v>
      </c>
      <c r="C14">
        <v>13</v>
      </c>
      <c r="D14" t="s">
        <v>705</v>
      </c>
      <c r="E14">
        <v>7396764551</v>
      </c>
      <c r="F14" t="s">
        <v>706</v>
      </c>
      <c r="G14" t="s">
        <v>36</v>
      </c>
      <c r="H14" t="s">
        <v>36</v>
      </c>
      <c r="I14">
        <f t="shared" si="0"/>
        <v>4</v>
      </c>
      <c r="J14">
        <v>139.1</v>
      </c>
      <c r="K14" t="str">
        <f t="shared" si="1"/>
        <v>Correct</v>
      </c>
      <c r="L14">
        <f t="shared" si="2"/>
        <v>0</v>
      </c>
      <c r="M14">
        <v>13</v>
      </c>
      <c r="O14" t="s">
        <v>707</v>
      </c>
    </row>
    <row r="15" spans="1:16" x14ac:dyDescent="0.3">
      <c r="A15">
        <v>14</v>
      </c>
      <c r="B15">
        <v>7396761144</v>
      </c>
      <c r="D15" t="s">
        <v>708</v>
      </c>
      <c r="E15">
        <v>7396764554</v>
      </c>
      <c r="F15" t="s">
        <v>709</v>
      </c>
      <c r="G15" t="s">
        <v>48</v>
      </c>
      <c r="H15" t="s">
        <v>48</v>
      </c>
      <c r="I15">
        <f t="shared" si="0"/>
        <v>4</v>
      </c>
      <c r="J15">
        <v>25.3</v>
      </c>
      <c r="K15" t="str">
        <f t="shared" si="1"/>
        <v>Correct</v>
      </c>
      <c r="L15">
        <f t="shared" si="2"/>
        <v>0</v>
      </c>
      <c r="M15">
        <v>14</v>
      </c>
      <c r="O15" t="s">
        <v>634</v>
      </c>
    </row>
    <row r="16" spans="1:16" x14ac:dyDescent="0.3">
      <c r="A16">
        <v>15</v>
      </c>
      <c r="B16">
        <v>7396761145</v>
      </c>
      <c r="C16">
        <v>15</v>
      </c>
      <c r="D16" t="s">
        <v>710</v>
      </c>
      <c r="E16">
        <v>7396764557</v>
      </c>
      <c r="F16" t="s">
        <v>711</v>
      </c>
      <c r="G16" t="s">
        <v>29</v>
      </c>
      <c r="H16" t="s">
        <v>29</v>
      </c>
      <c r="I16">
        <f t="shared" si="0"/>
        <v>4</v>
      </c>
      <c r="J16">
        <v>96.2</v>
      </c>
      <c r="K16" t="str">
        <f t="shared" si="1"/>
        <v>Correct</v>
      </c>
      <c r="L16">
        <f t="shared" si="2"/>
        <v>0</v>
      </c>
      <c r="M16">
        <v>15</v>
      </c>
      <c r="O16" t="s">
        <v>261</v>
      </c>
      <c r="P16" t="s">
        <v>712</v>
      </c>
    </row>
    <row r="17" spans="1:16" x14ac:dyDescent="0.3">
      <c r="A17">
        <v>16</v>
      </c>
      <c r="B17">
        <v>7396761146</v>
      </c>
      <c r="D17" t="s">
        <v>713</v>
      </c>
      <c r="E17">
        <v>7396764562</v>
      </c>
      <c r="F17" t="s">
        <v>714</v>
      </c>
      <c r="G17" t="s">
        <v>48</v>
      </c>
      <c r="H17" t="s">
        <v>48</v>
      </c>
      <c r="I17">
        <f t="shared" si="0"/>
        <v>4</v>
      </c>
      <c r="J17">
        <v>180.8</v>
      </c>
      <c r="K17" t="str">
        <f t="shared" si="1"/>
        <v>Correct</v>
      </c>
      <c r="L17">
        <f t="shared" si="2"/>
        <v>0</v>
      </c>
      <c r="M17">
        <v>16</v>
      </c>
      <c r="O17" t="s">
        <v>634</v>
      </c>
    </row>
    <row r="18" spans="1:16" x14ac:dyDescent="0.3">
      <c r="A18">
        <v>17</v>
      </c>
      <c r="B18">
        <v>7396761147</v>
      </c>
      <c r="C18">
        <v>17</v>
      </c>
      <c r="D18" t="s">
        <v>715</v>
      </c>
      <c r="E18">
        <v>7396764565</v>
      </c>
      <c r="F18" t="s">
        <v>716</v>
      </c>
      <c r="G18" t="s">
        <v>29</v>
      </c>
      <c r="H18" t="s">
        <v>26</v>
      </c>
      <c r="I18">
        <f t="shared" si="0"/>
        <v>-1</v>
      </c>
      <c r="J18">
        <v>196.2</v>
      </c>
      <c r="K18" t="str">
        <f t="shared" si="1"/>
        <v>Incorrect</v>
      </c>
      <c r="L18">
        <f t="shared" si="2"/>
        <v>1</v>
      </c>
      <c r="M18">
        <v>17</v>
      </c>
      <c r="N18">
        <v>17</v>
      </c>
      <c r="O18" t="s">
        <v>717</v>
      </c>
      <c r="P18" t="s">
        <v>718</v>
      </c>
    </row>
    <row r="19" spans="1:16" x14ac:dyDescent="0.3">
      <c r="A19">
        <v>18</v>
      </c>
      <c r="B19">
        <v>7396761148</v>
      </c>
      <c r="D19" t="s">
        <v>719</v>
      </c>
      <c r="E19">
        <v>7396764569</v>
      </c>
      <c r="F19" t="s">
        <v>720</v>
      </c>
      <c r="G19" t="s">
        <v>29</v>
      </c>
      <c r="H19" t="s">
        <v>29</v>
      </c>
      <c r="I19">
        <f t="shared" si="0"/>
        <v>4</v>
      </c>
      <c r="J19">
        <v>33.1</v>
      </c>
      <c r="K19" t="str">
        <f t="shared" si="1"/>
        <v>Correct</v>
      </c>
      <c r="L19">
        <f t="shared" si="2"/>
        <v>0</v>
      </c>
      <c r="M19">
        <v>18</v>
      </c>
      <c r="O19" t="s">
        <v>634</v>
      </c>
    </row>
    <row r="20" spans="1:16" x14ac:dyDescent="0.3">
      <c r="A20">
        <v>19</v>
      </c>
      <c r="B20">
        <v>7396761149</v>
      </c>
      <c r="D20" t="s">
        <v>721</v>
      </c>
      <c r="E20">
        <v>7396764576</v>
      </c>
      <c r="F20" t="s">
        <v>722</v>
      </c>
      <c r="G20" t="s">
        <v>26</v>
      </c>
      <c r="H20" t="s">
        <v>26</v>
      </c>
      <c r="I20">
        <f t="shared" si="0"/>
        <v>4</v>
      </c>
      <c r="J20">
        <v>22.8</v>
      </c>
      <c r="K20" t="str">
        <f t="shared" si="1"/>
        <v>Correct</v>
      </c>
      <c r="L20">
        <f t="shared" si="2"/>
        <v>0</v>
      </c>
      <c r="M20">
        <v>19</v>
      </c>
      <c r="O20" t="s">
        <v>634</v>
      </c>
    </row>
    <row r="21" spans="1:16" x14ac:dyDescent="0.3">
      <c r="A21">
        <v>20</v>
      </c>
      <c r="B21">
        <v>7396761150</v>
      </c>
      <c r="D21" t="s">
        <v>723</v>
      </c>
      <c r="E21">
        <v>7396764578</v>
      </c>
      <c r="F21" t="s">
        <v>724</v>
      </c>
      <c r="G21" t="s">
        <v>48</v>
      </c>
      <c r="H21" t="s">
        <v>48</v>
      </c>
      <c r="I21">
        <f t="shared" si="0"/>
        <v>4</v>
      </c>
      <c r="J21">
        <v>38.1</v>
      </c>
      <c r="K21" t="str">
        <f t="shared" si="1"/>
        <v>Correct</v>
      </c>
      <c r="L21">
        <f t="shared" si="2"/>
        <v>0</v>
      </c>
      <c r="M21">
        <v>20</v>
      </c>
      <c r="O21" t="s">
        <v>634</v>
      </c>
    </row>
    <row r="22" spans="1:16" x14ac:dyDescent="0.3">
      <c r="A22">
        <v>21</v>
      </c>
      <c r="B22">
        <v>7396761151</v>
      </c>
      <c r="D22" t="s">
        <v>725</v>
      </c>
      <c r="E22">
        <v>7396764583</v>
      </c>
      <c r="F22" t="s">
        <v>205</v>
      </c>
      <c r="G22" t="s">
        <v>36</v>
      </c>
      <c r="H22" t="s">
        <v>36</v>
      </c>
      <c r="I22">
        <f t="shared" si="0"/>
        <v>4</v>
      </c>
      <c r="J22">
        <v>35.5</v>
      </c>
      <c r="K22" t="str">
        <f t="shared" si="1"/>
        <v>Correct</v>
      </c>
      <c r="L22">
        <f t="shared" si="2"/>
        <v>0</v>
      </c>
      <c r="M22">
        <v>21</v>
      </c>
      <c r="O22" t="s">
        <v>634</v>
      </c>
    </row>
    <row r="23" spans="1:16" x14ac:dyDescent="0.3">
      <c r="A23">
        <v>22</v>
      </c>
      <c r="B23">
        <v>7396761152</v>
      </c>
      <c r="C23">
        <v>22</v>
      </c>
      <c r="D23" t="s">
        <v>726</v>
      </c>
      <c r="E23">
        <v>7396764587</v>
      </c>
      <c r="F23" t="s">
        <v>727</v>
      </c>
      <c r="G23" t="s">
        <v>36</v>
      </c>
      <c r="H23" t="s">
        <v>26</v>
      </c>
      <c r="I23">
        <f t="shared" si="0"/>
        <v>-1</v>
      </c>
      <c r="J23">
        <v>40.6</v>
      </c>
      <c r="K23" t="str">
        <f t="shared" si="1"/>
        <v>Incorrect</v>
      </c>
      <c r="L23">
        <f t="shared" si="2"/>
        <v>1</v>
      </c>
      <c r="M23">
        <v>22</v>
      </c>
      <c r="N23">
        <v>22</v>
      </c>
      <c r="O23" t="s">
        <v>634</v>
      </c>
      <c r="P23" t="s">
        <v>728</v>
      </c>
    </row>
    <row r="24" spans="1:16" x14ac:dyDescent="0.3">
      <c r="A24">
        <v>23</v>
      </c>
      <c r="B24">
        <v>7396761153</v>
      </c>
      <c r="C24">
        <v>23</v>
      </c>
      <c r="D24" t="s">
        <v>729</v>
      </c>
      <c r="E24">
        <v>7396764592</v>
      </c>
      <c r="F24" t="s">
        <v>730</v>
      </c>
      <c r="G24" t="s">
        <v>26</v>
      </c>
      <c r="H24" t="s">
        <v>26</v>
      </c>
      <c r="I24">
        <f t="shared" si="0"/>
        <v>4</v>
      </c>
      <c r="J24">
        <v>79.7</v>
      </c>
      <c r="K24" t="str">
        <f t="shared" si="1"/>
        <v>Correct</v>
      </c>
      <c r="L24">
        <f t="shared" si="2"/>
        <v>0</v>
      </c>
      <c r="M24">
        <v>23</v>
      </c>
      <c r="O24" t="s">
        <v>731</v>
      </c>
      <c r="P24" t="s">
        <v>732</v>
      </c>
    </row>
    <row r="25" spans="1:16" x14ac:dyDescent="0.3">
      <c r="A25">
        <v>24</v>
      </c>
      <c r="B25">
        <v>7396761154</v>
      </c>
      <c r="D25" t="s">
        <v>733</v>
      </c>
      <c r="E25">
        <v>7396764596</v>
      </c>
      <c r="F25" t="s">
        <v>734</v>
      </c>
      <c r="G25" t="s">
        <v>26</v>
      </c>
      <c r="H25" t="s">
        <v>26</v>
      </c>
      <c r="I25">
        <f t="shared" si="0"/>
        <v>4</v>
      </c>
      <c r="J25">
        <v>164.9</v>
      </c>
      <c r="K25" t="str">
        <f t="shared" si="1"/>
        <v>Correct</v>
      </c>
      <c r="L25">
        <f t="shared" si="2"/>
        <v>0</v>
      </c>
      <c r="M25">
        <v>24</v>
      </c>
      <c r="O25" t="s">
        <v>634</v>
      </c>
    </row>
    <row r="26" spans="1:16" x14ac:dyDescent="0.3">
      <c r="A26">
        <v>25</v>
      </c>
      <c r="B26">
        <v>7396761155</v>
      </c>
      <c r="D26" t="s">
        <v>735</v>
      </c>
      <c r="E26">
        <v>7396764597</v>
      </c>
      <c r="F26" t="s">
        <v>736</v>
      </c>
      <c r="G26" t="s">
        <v>29</v>
      </c>
      <c r="H26" t="s">
        <v>29</v>
      </c>
      <c r="I26">
        <f t="shared" si="0"/>
        <v>4</v>
      </c>
      <c r="J26">
        <v>61</v>
      </c>
      <c r="K26" t="str">
        <f t="shared" si="1"/>
        <v>Correct</v>
      </c>
      <c r="L26">
        <f t="shared" si="2"/>
        <v>0</v>
      </c>
      <c r="M26">
        <v>25</v>
      </c>
      <c r="O26" t="s">
        <v>634</v>
      </c>
    </row>
    <row r="27" spans="1:16" x14ac:dyDescent="0.3">
      <c r="A27">
        <v>26</v>
      </c>
      <c r="B27">
        <v>7396761156</v>
      </c>
      <c r="C27">
        <v>26</v>
      </c>
      <c r="D27" t="s">
        <v>737</v>
      </c>
      <c r="E27">
        <v>7396764602</v>
      </c>
      <c r="F27" t="s">
        <v>738</v>
      </c>
      <c r="G27" t="s">
        <v>48</v>
      </c>
      <c r="H27" t="s">
        <v>36</v>
      </c>
      <c r="I27">
        <f t="shared" si="0"/>
        <v>-1</v>
      </c>
      <c r="J27">
        <v>62</v>
      </c>
      <c r="K27" t="str">
        <f t="shared" si="1"/>
        <v>Incorrect</v>
      </c>
      <c r="L27">
        <f t="shared" si="2"/>
        <v>1</v>
      </c>
      <c r="M27">
        <v>26</v>
      </c>
      <c r="N27">
        <v>26</v>
      </c>
      <c r="O27" t="s">
        <v>739</v>
      </c>
      <c r="P27" t="s">
        <v>740</v>
      </c>
    </row>
    <row r="28" spans="1:16" x14ac:dyDescent="0.3">
      <c r="A28">
        <v>27</v>
      </c>
      <c r="B28">
        <v>7396761157</v>
      </c>
      <c r="C28">
        <v>27</v>
      </c>
      <c r="D28" t="s">
        <v>741</v>
      </c>
      <c r="E28">
        <v>7396764607</v>
      </c>
      <c r="F28" t="s">
        <v>742</v>
      </c>
      <c r="G28" t="s">
        <v>36</v>
      </c>
      <c r="H28" t="s">
        <v>26</v>
      </c>
      <c r="I28">
        <f t="shared" si="0"/>
        <v>-1</v>
      </c>
      <c r="J28">
        <v>47.9</v>
      </c>
      <c r="K28" t="str">
        <f t="shared" si="1"/>
        <v>Incorrect</v>
      </c>
      <c r="L28">
        <f t="shared" si="2"/>
        <v>1</v>
      </c>
      <c r="M28">
        <v>27</v>
      </c>
      <c r="N28">
        <v>27</v>
      </c>
      <c r="O28" t="s">
        <v>743</v>
      </c>
      <c r="P28" t="s">
        <v>740</v>
      </c>
    </row>
    <row r="29" spans="1:16" x14ac:dyDescent="0.3">
      <c r="A29">
        <v>28</v>
      </c>
      <c r="B29">
        <v>7396761158</v>
      </c>
      <c r="C29">
        <v>28</v>
      </c>
      <c r="D29" t="s">
        <v>744</v>
      </c>
      <c r="E29">
        <v>7396764612</v>
      </c>
      <c r="F29" t="s">
        <v>745</v>
      </c>
      <c r="G29" t="s">
        <v>26</v>
      </c>
      <c r="H29" t="s">
        <v>26</v>
      </c>
      <c r="I29">
        <f t="shared" si="0"/>
        <v>4</v>
      </c>
      <c r="J29">
        <v>79.599999999999994</v>
      </c>
      <c r="K29" t="str">
        <f t="shared" si="1"/>
        <v>Correct</v>
      </c>
      <c r="L29">
        <f t="shared" si="2"/>
        <v>0</v>
      </c>
      <c r="M29">
        <v>28</v>
      </c>
      <c r="O29" t="s">
        <v>746</v>
      </c>
      <c r="P29" t="s">
        <v>740</v>
      </c>
    </row>
    <row r="30" spans="1:16" x14ac:dyDescent="0.3">
      <c r="A30">
        <v>29</v>
      </c>
      <c r="B30">
        <v>7396761159</v>
      </c>
      <c r="C30">
        <v>29</v>
      </c>
      <c r="D30" t="s">
        <v>747</v>
      </c>
      <c r="E30">
        <v>7396764615</v>
      </c>
      <c r="F30" t="s">
        <v>748</v>
      </c>
      <c r="G30" t="s">
        <v>36</v>
      </c>
      <c r="H30" t="s">
        <v>48</v>
      </c>
      <c r="I30">
        <f t="shared" si="0"/>
        <v>-1</v>
      </c>
      <c r="J30">
        <v>29.2</v>
      </c>
      <c r="K30" t="str">
        <f t="shared" si="1"/>
        <v>Incorrect</v>
      </c>
      <c r="L30">
        <f t="shared" si="2"/>
        <v>1</v>
      </c>
      <c r="M30">
        <v>29</v>
      </c>
      <c r="N30">
        <v>29</v>
      </c>
      <c r="O30" t="s">
        <v>749</v>
      </c>
      <c r="P30" t="s">
        <v>750</v>
      </c>
    </row>
    <row r="31" spans="1:16" x14ac:dyDescent="0.3">
      <c r="A31">
        <v>30</v>
      </c>
      <c r="B31">
        <v>7396761160</v>
      </c>
      <c r="C31">
        <v>30</v>
      </c>
      <c r="D31" t="s">
        <v>751</v>
      </c>
      <c r="E31">
        <v>7396764620</v>
      </c>
      <c r="F31" t="s">
        <v>752</v>
      </c>
      <c r="G31" t="s">
        <v>26</v>
      </c>
      <c r="H31" t="s">
        <v>26</v>
      </c>
      <c r="I31">
        <f t="shared" si="0"/>
        <v>4</v>
      </c>
      <c r="J31">
        <v>157.80000000000001</v>
      </c>
      <c r="K31" t="str">
        <f t="shared" si="1"/>
        <v>Correct</v>
      </c>
      <c r="L31">
        <f t="shared" si="2"/>
        <v>0</v>
      </c>
      <c r="M31">
        <v>30</v>
      </c>
      <c r="O31" t="s">
        <v>753</v>
      </c>
      <c r="P31" t="s">
        <v>754</v>
      </c>
    </row>
    <row r="32" spans="1:16" x14ac:dyDescent="0.3">
      <c r="A32">
        <v>31</v>
      </c>
      <c r="B32">
        <v>7396761161</v>
      </c>
      <c r="D32" t="s">
        <v>755</v>
      </c>
      <c r="E32">
        <v>7396764624</v>
      </c>
      <c r="F32" t="s">
        <v>756</v>
      </c>
      <c r="G32" t="s">
        <v>26</v>
      </c>
      <c r="H32" t="s">
        <v>26</v>
      </c>
      <c r="I32">
        <f t="shared" si="0"/>
        <v>4</v>
      </c>
      <c r="J32">
        <v>56.2</v>
      </c>
      <c r="K32" t="str">
        <f t="shared" si="1"/>
        <v>Correct</v>
      </c>
      <c r="L32">
        <f t="shared" si="2"/>
        <v>0</v>
      </c>
      <c r="M32">
        <v>31</v>
      </c>
      <c r="O32" t="s">
        <v>634</v>
      </c>
    </row>
    <row r="33" spans="1:16" x14ac:dyDescent="0.3">
      <c r="A33">
        <v>32</v>
      </c>
      <c r="B33">
        <v>7396761162</v>
      </c>
      <c r="C33">
        <v>32</v>
      </c>
      <c r="D33" t="s">
        <v>757</v>
      </c>
      <c r="E33">
        <v>7396764628</v>
      </c>
      <c r="F33" t="s">
        <v>758</v>
      </c>
      <c r="G33" t="s">
        <v>26</v>
      </c>
      <c r="H33" t="s">
        <v>26</v>
      </c>
      <c r="I33">
        <f t="shared" si="0"/>
        <v>4</v>
      </c>
      <c r="J33">
        <v>82.4</v>
      </c>
      <c r="K33" t="str">
        <f t="shared" si="1"/>
        <v>Correct</v>
      </c>
      <c r="L33">
        <f t="shared" si="2"/>
        <v>0</v>
      </c>
      <c r="M33">
        <v>32</v>
      </c>
      <c r="O33" t="s">
        <v>759</v>
      </c>
      <c r="P33" t="s">
        <v>760</v>
      </c>
    </row>
    <row r="34" spans="1:16" x14ac:dyDescent="0.3">
      <c r="A34">
        <v>33</v>
      </c>
      <c r="B34">
        <v>7396761163</v>
      </c>
      <c r="C34">
        <v>33</v>
      </c>
      <c r="D34" t="s">
        <v>761</v>
      </c>
      <c r="E34">
        <v>7396764630</v>
      </c>
      <c r="F34" t="s">
        <v>762</v>
      </c>
      <c r="G34" t="s">
        <v>48</v>
      </c>
      <c r="H34" t="s">
        <v>29</v>
      </c>
      <c r="I34">
        <f t="shared" ref="I34:I65" si="3">IF(K34="Correct", 4, IF(K34="Incorrect", -1, 0))</f>
        <v>-1</v>
      </c>
      <c r="J34">
        <v>155.69999999999999</v>
      </c>
      <c r="K34" t="str">
        <f t="shared" ref="K34:K65" si="4">IF(OR(ISBLANK(H34), H34="Not Attempted", H34=""), "Unattempted", IF(H34=G34, "Correct", "Incorrect"))</f>
        <v>Incorrect</v>
      </c>
      <c r="L34">
        <f t="shared" ref="L34:L65" si="5">IF(K34="Incorrect", 1, 0)</f>
        <v>1</v>
      </c>
      <c r="M34">
        <v>33</v>
      </c>
      <c r="N34">
        <v>33</v>
      </c>
      <c r="O34" t="s">
        <v>763</v>
      </c>
      <c r="P34" t="s">
        <v>764</v>
      </c>
    </row>
    <row r="35" spans="1:16" x14ac:dyDescent="0.3">
      <c r="A35">
        <v>34</v>
      </c>
      <c r="B35">
        <v>7396761164</v>
      </c>
      <c r="D35" t="s">
        <v>765</v>
      </c>
      <c r="E35">
        <v>7396764636</v>
      </c>
      <c r="F35" t="s">
        <v>766</v>
      </c>
      <c r="G35" t="s">
        <v>26</v>
      </c>
      <c r="H35" t="s">
        <v>26</v>
      </c>
      <c r="I35">
        <f t="shared" si="3"/>
        <v>4</v>
      </c>
      <c r="J35">
        <v>32.200000000000003</v>
      </c>
      <c r="K35" t="str">
        <f t="shared" si="4"/>
        <v>Correct</v>
      </c>
      <c r="L35">
        <f t="shared" si="5"/>
        <v>0</v>
      </c>
      <c r="M35">
        <v>34</v>
      </c>
      <c r="O35" t="s">
        <v>634</v>
      </c>
    </row>
    <row r="36" spans="1:16" x14ac:dyDescent="0.3">
      <c r="A36">
        <v>35</v>
      </c>
      <c r="B36">
        <v>7396761165</v>
      </c>
      <c r="C36">
        <v>35</v>
      </c>
      <c r="D36" t="s">
        <v>767</v>
      </c>
      <c r="E36">
        <v>7396764639</v>
      </c>
      <c r="F36" t="s">
        <v>768</v>
      </c>
      <c r="G36" t="s">
        <v>36</v>
      </c>
      <c r="H36" t="s">
        <v>26</v>
      </c>
      <c r="I36">
        <f t="shared" si="3"/>
        <v>-1</v>
      </c>
      <c r="J36">
        <v>273</v>
      </c>
      <c r="K36" t="str">
        <f t="shared" si="4"/>
        <v>Incorrect</v>
      </c>
      <c r="L36">
        <f t="shared" si="5"/>
        <v>1</v>
      </c>
      <c r="M36">
        <v>35</v>
      </c>
      <c r="N36">
        <v>35</v>
      </c>
      <c r="O36" t="s">
        <v>769</v>
      </c>
      <c r="P36" t="s">
        <v>770</v>
      </c>
    </row>
    <row r="37" spans="1:16" x14ac:dyDescent="0.3">
      <c r="A37">
        <v>36</v>
      </c>
      <c r="B37">
        <v>7396761166</v>
      </c>
      <c r="C37">
        <v>36</v>
      </c>
      <c r="D37" t="s">
        <v>771</v>
      </c>
      <c r="E37">
        <v>7396764642</v>
      </c>
      <c r="F37" t="s">
        <v>772</v>
      </c>
      <c r="G37" t="s">
        <v>48</v>
      </c>
      <c r="H37" t="s">
        <v>36</v>
      </c>
      <c r="I37">
        <f t="shared" si="3"/>
        <v>-1</v>
      </c>
      <c r="J37">
        <v>113.9</v>
      </c>
      <c r="K37" t="str">
        <f t="shared" si="4"/>
        <v>Incorrect</v>
      </c>
      <c r="L37">
        <f t="shared" si="5"/>
        <v>1</v>
      </c>
      <c r="M37">
        <v>36</v>
      </c>
      <c r="N37">
        <v>36</v>
      </c>
      <c r="O37" t="s">
        <v>773</v>
      </c>
      <c r="P37" t="s">
        <v>774</v>
      </c>
    </row>
    <row r="38" spans="1:16" x14ac:dyDescent="0.3">
      <c r="A38">
        <v>37</v>
      </c>
      <c r="B38">
        <v>7396761167</v>
      </c>
      <c r="D38" t="s">
        <v>775</v>
      </c>
      <c r="E38">
        <v>7396764648</v>
      </c>
      <c r="F38" t="s">
        <v>776</v>
      </c>
      <c r="G38" t="s">
        <v>26</v>
      </c>
      <c r="H38" t="s">
        <v>26</v>
      </c>
      <c r="I38">
        <f t="shared" si="3"/>
        <v>4</v>
      </c>
      <c r="J38">
        <v>83.6</v>
      </c>
      <c r="K38" t="str">
        <f t="shared" si="4"/>
        <v>Correct</v>
      </c>
      <c r="L38">
        <f t="shared" si="5"/>
        <v>0</v>
      </c>
      <c r="M38">
        <v>37</v>
      </c>
      <c r="O38" t="s">
        <v>634</v>
      </c>
    </row>
    <row r="39" spans="1:16" x14ac:dyDescent="0.3">
      <c r="A39">
        <v>38</v>
      </c>
      <c r="B39">
        <v>7396761168</v>
      </c>
      <c r="C39">
        <v>38</v>
      </c>
      <c r="D39" t="s">
        <v>777</v>
      </c>
      <c r="E39">
        <v>7396764649</v>
      </c>
      <c r="F39" t="s">
        <v>778</v>
      </c>
      <c r="G39" t="s">
        <v>29</v>
      </c>
      <c r="H39" t="s">
        <v>26</v>
      </c>
      <c r="I39">
        <f t="shared" si="3"/>
        <v>-1</v>
      </c>
      <c r="J39">
        <v>29.5</v>
      </c>
      <c r="K39" t="str">
        <f t="shared" si="4"/>
        <v>Incorrect</v>
      </c>
      <c r="L39">
        <f t="shared" si="5"/>
        <v>1</v>
      </c>
      <c r="M39">
        <v>38</v>
      </c>
      <c r="N39">
        <v>38</v>
      </c>
      <c r="O39" t="s">
        <v>634</v>
      </c>
      <c r="P39" t="s">
        <v>779</v>
      </c>
    </row>
    <row r="40" spans="1:16" x14ac:dyDescent="0.3">
      <c r="A40">
        <v>39</v>
      </c>
      <c r="B40">
        <v>7396761169</v>
      </c>
      <c r="D40" t="s">
        <v>780</v>
      </c>
      <c r="E40">
        <v>7396764656</v>
      </c>
      <c r="F40" t="s">
        <v>781</v>
      </c>
      <c r="G40" t="s">
        <v>26</v>
      </c>
      <c r="H40" t="s">
        <v>26</v>
      </c>
      <c r="I40">
        <f t="shared" si="3"/>
        <v>4</v>
      </c>
      <c r="J40">
        <v>91.6</v>
      </c>
      <c r="K40" t="str">
        <f t="shared" si="4"/>
        <v>Correct</v>
      </c>
      <c r="L40">
        <f t="shared" si="5"/>
        <v>0</v>
      </c>
      <c r="M40">
        <v>39</v>
      </c>
      <c r="O40" t="s">
        <v>634</v>
      </c>
    </row>
    <row r="41" spans="1:16" x14ac:dyDescent="0.3">
      <c r="A41">
        <v>40</v>
      </c>
      <c r="B41">
        <v>7396761170</v>
      </c>
      <c r="D41" t="s">
        <v>782</v>
      </c>
      <c r="E41">
        <v>7396764659</v>
      </c>
      <c r="F41" t="s">
        <v>783</v>
      </c>
      <c r="G41" t="s">
        <v>36</v>
      </c>
      <c r="H41" t="s">
        <v>36</v>
      </c>
      <c r="I41">
        <f t="shared" si="3"/>
        <v>4</v>
      </c>
      <c r="J41">
        <v>104.6</v>
      </c>
      <c r="K41" t="str">
        <f t="shared" si="4"/>
        <v>Correct</v>
      </c>
      <c r="L41">
        <f t="shared" si="5"/>
        <v>0</v>
      </c>
      <c r="M41">
        <v>40</v>
      </c>
      <c r="O41" t="s">
        <v>634</v>
      </c>
    </row>
    <row r="42" spans="1:16" x14ac:dyDescent="0.3">
      <c r="A42">
        <v>41</v>
      </c>
      <c r="B42">
        <v>7396761171</v>
      </c>
      <c r="D42" t="s">
        <v>784</v>
      </c>
      <c r="E42">
        <v>7396764664</v>
      </c>
      <c r="F42" t="s">
        <v>336</v>
      </c>
      <c r="G42" t="s">
        <v>26</v>
      </c>
      <c r="H42" t="s">
        <v>26</v>
      </c>
      <c r="I42">
        <f t="shared" si="3"/>
        <v>4</v>
      </c>
      <c r="J42">
        <v>237.9</v>
      </c>
      <c r="K42" t="str">
        <f t="shared" si="4"/>
        <v>Correct</v>
      </c>
      <c r="L42">
        <f t="shared" si="5"/>
        <v>0</v>
      </c>
      <c r="M42">
        <v>41</v>
      </c>
      <c r="O42" t="s">
        <v>634</v>
      </c>
    </row>
    <row r="43" spans="1:16" x14ac:dyDescent="0.3">
      <c r="A43">
        <v>42</v>
      </c>
      <c r="B43">
        <v>7396761172</v>
      </c>
      <c r="D43" t="s">
        <v>785</v>
      </c>
      <c r="E43">
        <v>7396764667</v>
      </c>
      <c r="F43" t="s">
        <v>786</v>
      </c>
      <c r="G43" t="s">
        <v>36</v>
      </c>
      <c r="H43" t="s">
        <v>36</v>
      </c>
      <c r="I43">
        <f t="shared" si="3"/>
        <v>4</v>
      </c>
      <c r="J43">
        <v>12.1</v>
      </c>
      <c r="K43" t="str">
        <f t="shared" si="4"/>
        <v>Correct</v>
      </c>
      <c r="L43">
        <f t="shared" si="5"/>
        <v>0</v>
      </c>
      <c r="M43">
        <v>42</v>
      </c>
      <c r="O43" t="s">
        <v>634</v>
      </c>
    </row>
    <row r="44" spans="1:16" x14ac:dyDescent="0.3">
      <c r="A44">
        <v>43</v>
      </c>
      <c r="B44">
        <v>7396761173</v>
      </c>
      <c r="C44">
        <v>43</v>
      </c>
      <c r="D44" t="s">
        <v>787</v>
      </c>
      <c r="E44">
        <v>7396764670</v>
      </c>
      <c r="F44" t="s">
        <v>788</v>
      </c>
      <c r="G44" t="s">
        <v>48</v>
      </c>
      <c r="H44" t="s">
        <v>26</v>
      </c>
      <c r="I44">
        <f t="shared" si="3"/>
        <v>-1</v>
      </c>
      <c r="J44">
        <v>130</v>
      </c>
      <c r="K44" t="str">
        <f t="shared" si="4"/>
        <v>Incorrect</v>
      </c>
      <c r="L44">
        <f t="shared" si="5"/>
        <v>1</v>
      </c>
      <c r="M44">
        <v>43</v>
      </c>
      <c r="N44">
        <v>43</v>
      </c>
      <c r="O44" t="s">
        <v>789</v>
      </c>
      <c r="P44" t="s">
        <v>790</v>
      </c>
    </row>
    <row r="45" spans="1:16" x14ac:dyDescent="0.3">
      <c r="A45">
        <v>44</v>
      </c>
      <c r="B45">
        <v>7396761174</v>
      </c>
      <c r="C45">
        <v>44</v>
      </c>
      <c r="D45" t="s">
        <v>791</v>
      </c>
      <c r="E45">
        <v>7396764676</v>
      </c>
      <c r="F45" t="s">
        <v>792</v>
      </c>
      <c r="G45" t="s">
        <v>26</v>
      </c>
      <c r="H45" t="s">
        <v>29</v>
      </c>
      <c r="I45">
        <f t="shared" si="3"/>
        <v>-1</v>
      </c>
      <c r="J45">
        <v>126.3</v>
      </c>
      <c r="K45" t="str">
        <f t="shared" si="4"/>
        <v>Incorrect</v>
      </c>
      <c r="L45">
        <f t="shared" si="5"/>
        <v>1</v>
      </c>
      <c r="M45">
        <v>44</v>
      </c>
      <c r="N45">
        <v>44</v>
      </c>
      <c r="O45" t="s">
        <v>793</v>
      </c>
      <c r="P45" t="s">
        <v>794</v>
      </c>
    </row>
    <row r="46" spans="1:16" x14ac:dyDescent="0.3">
      <c r="A46">
        <v>45</v>
      </c>
      <c r="B46">
        <v>7396761175</v>
      </c>
      <c r="D46" t="s">
        <v>795</v>
      </c>
      <c r="E46">
        <v>7396764677</v>
      </c>
      <c r="F46" t="s">
        <v>796</v>
      </c>
      <c r="G46" t="s">
        <v>29</v>
      </c>
      <c r="H46" t="s">
        <v>29</v>
      </c>
      <c r="I46">
        <f t="shared" si="3"/>
        <v>4</v>
      </c>
      <c r="J46">
        <v>62.2</v>
      </c>
      <c r="K46" t="str">
        <f t="shared" si="4"/>
        <v>Correct</v>
      </c>
      <c r="L46">
        <f t="shared" si="5"/>
        <v>0</v>
      </c>
      <c r="M46">
        <v>45</v>
      </c>
      <c r="O46" t="s">
        <v>634</v>
      </c>
    </row>
    <row r="47" spans="1:16" x14ac:dyDescent="0.3">
      <c r="A47">
        <v>46</v>
      </c>
      <c r="B47">
        <v>7396761176</v>
      </c>
      <c r="C47">
        <v>46</v>
      </c>
      <c r="D47" t="s">
        <v>797</v>
      </c>
      <c r="E47">
        <v>7396764682</v>
      </c>
      <c r="F47" t="s">
        <v>551</v>
      </c>
      <c r="G47" t="s">
        <v>48</v>
      </c>
      <c r="H47" t="s">
        <v>36</v>
      </c>
      <c r="I47">
        <f t="shared" si="3"/>
        <v>-1</v>
      </c>
      <c r="J47">
        <v>93.1</v>
      </c>
      <c r="K47" t="str">
        <f t="shared" si="4"/>
        <v>Incorrect</v>
      </c>
      <c r="L47">
        <f t="shared" si="5"/>
        <v>1</v>
      </c>
      <c r="M47">
        <v>46</v>
      </c>
      <c r="N47">
        <v>46</v>
      </c>
      <c r="O47" t="s">
        <v>798</v>
      </c>
      <c r="P47" t="s">
        <v>799</v>
      </c>
    </row>
    <row r="48" spans="1:16" x14ac:dyDescent="0.3">
      <c r="A48">
        <v>47</v>
      </c>
      <c r="B48">
        <v>7396761177</v>
      </c>
      <c r="C48">
        <v>47</v>
      </c>
      <c r="D48" t="s">
        <v>800</v>
      </c>
      <c r="E48">
        <v>7396764687</v>
      </c>
      <c r="F48" t="s">
        <v>593</v>
      </c>
      <c r="G48" t="s">
        <v>36</v>
      </c>
      <c r="H48" t="s">
        <v>36</v>
      </c>
      <c r="I48">
        <f t="shared" si="3"/>
        <v>4</v>
      </c>
      <c r="J48">
        <v>134.19999999999999</v>
      </c>
      <c r="K48" t="str">
        <f t="shared" si="4"/>
        <v>Correct</v>
      </c>
      <c r="L48">
        <f t="shared" si="5"/>
        <v>0</v>
      </c>
      <c r="M48">
        <v>47</v>
      </c>
      <c r="O48" t="s">
        <v>801</v>
      </c>
      <c r="P48" t="s">
        <v>802</v>
      </c>
    </row>
    <row r="49" spans="1:16" x14ac:dyDescent="0.3">
      <c r="A49">
        <v>48</v>
      </c>
      <c r="B49">
        <v>7396761178</v>
      </c>
      <c r="C49">
        <v>48</v>
      </c>
      <c r="D49" t="s">
        <v>803</v>
      </c>
      <c r="E49">
        <v>7396764692</v>
      </c>
      <c r="F49" t="s">
        <v>544</v>
      </c>
      <c r="G49" t="s">
        <v>26</v>
      </c>
      <c r="H49" t="s">
        <v>48</v>
      </c>
      <c r="I49">
        <f t="shared" si="3"/>
        <v>-1</v>
      </c>
      <c r="J49">
        <v>158.4</v>
      </c>
      <c r="K49" t="str">
        <f t="shared" si="4"/>
        <v>Incorrect</v>
      </c>
      <c r="L49">
        <f t="shared" si="5"/>
        <v>1</v>
      </c>
      <c r="M49">
        <v>48</v>
      </c>
      <c r="N49">
        <v>48</v>
      </c>
      <c r="O49" t="s">
        <v>804</v>
      </c>
      <c r="P49" t="s">
        <v>805</v>
      </c>
    </row>
    <row r="50" spans="1:16" x14ac:dyDescent="0.3">
      <c r="A50">
        <v>49</v>
      </c>
      <c r="B50">
        <v>7396761179</v>
      </c>
      <c r="D50" t="s">
        <v>806</v>
      </c>
      <c r="E50">
        <v>7396764696</v>
      </c>
      <c r="F50" t="s">
        <v>574</v>
      </c>
      <c r="G50" t="s">
        <v>26</v>
      </c>
      <c r="H50" t="s">
        <v>26</v>
      </c>
      <c r="I50">
        <f t="shared" si="3"/>
        <v>4</v>
      </c>
      <c r="J50">
        <v>85.6</v>
      </c>
      <c r="K50" t="str">
        <f t="shared" si="4"/>
        <v>Correct</v>
      </c>
      <c r="L50">
        <f t="shared" si="5"/>
        <v>0</v>
      </c>
      <c r="M50">
        <v>49</v>
      </c>
      <c r="O50" t="s">
        <v>634</v>
      </c>
    </row>
    <row r="51" spans="1:16" x14ac:dyDescent="0.3">
      <c r="A51">
        <v>50</v>
      </c>
      <c r="B51">
        <v>7396761180</v>
      </c>
      <c r="C51">
        <v>50</v>
      </c>
      <c r="D51" t="s">
        <v>807</v>
      </c>
      <c r="E51">
        <v>7396764699</v>
      </c>
      <c r="F51" t="s">
        <v>808</v>
      </c>
      <c r="G51" t="s">
        <v>36</v>
      </c>
      <c r="H51" t="s">
        <v>36</v>
      </c>
      <c r="I51">
        <f t="shared" si="3"/>
        <v>4</v>
      </c>
      <c r="J51">
        <v>131.4</v>
      </c>
      <c r="K51" t="str">
        <f t="shared" si="4"/>
        <v>Correct</v>
      </c>
      <c r="L51">
        <f t="shared" si="5"/>
        <v>0</v>
      </c>
      <c r="M51">
        <v>50</v>
      </c>
      <c r="O51" t="s">
        <v>809</v>
      </c>
    </row>
    <row r="52" spans="1:16" x14ac:dyDescent="0.3">
      <c r="A52">
        <v>51</v>
      </c>
      <c r="B52">
        <v>7396761181</v>
      </c>
      <c r="C52">
        <v>51</v>
      </c>
      <c r="D52" t="s">
        <v>810</v>
      </c>
      <c r="E52">
        <v>7396764702</v>
      </c>
      <c r="F52" t="s">
        <v>811</v>
      </c>
      <c r="G52" t="s">
        <v>48</v>
      </c>
      <c r="H52" t="s">
        <v>48</v>
      </c>
      <c r="I52">
        <f t="shared" si="3"/>
        <v>4</v>
      </c>
      <c r="J52">
        <v>64.599999999999994</v>
      </c>
      <c r="K52" t="str">
        <f t="shared" si="4"/>
        <v>Correct</v>
      </c>
      <c r="L52">
        <f t="shared" si="5"/>
        <v>0</v>
      </c>
      <c r="M52">
        <v>51</v>
      </c>
      <c r="O52" t="s">
        <v>812</v>
      </c>
      <c r="P52" t="s">
        <v>740</v>
      </c>
    </row>
    <row r="53" spans="1:16" x14ac:dyDescent="0.3">
      <c r="A53">
        <v>52</v>
      </c>
      <c r="B53">
        <v>7396761182</v>
      </c>
      <c r="D53" t="s">
        <v>813</v>
      </c>
      <c r="E53">
        <v>7396764706</v>
      </c>
      <c r="F53" t="s">
        <v>814</v>
      </c>
      <c r="G53" t="s">
        <v>48</v>
      </c>
      <c r="H53" t="s">
        <v>48</v>
      </c>
      <c r="I53">
        <f t="shared" si="3"/>
        <v>4</v>
      </c>
      <c r="J53">
        <v>75.7</v>
      </c>
      <c r="K53" t="str">
        <f t="shared" si="4"/>
        <v>Correct</v>
      </c>
      <c r="L53">
        <f t="shared" si="5"/>
        <v>0</v>
      </c>
      <c r="M53">
        <v>52</v>
      </c>
      <c r="O53" t="s">
        <v>634</v>
      </c>
    </row>
    <row r="54" spans="1:16" x14ac:dyDescent="0.3">
      <c r="A54">
        <v>53</v>
      </c>
      <c r="B54">
        <v>7396761183</v>
      </c>
      <c r="C54">
        <v>53</v>
      </c>
      <c r="D54" t="s">
        <v>815</v>
      </c>
      <c r="E54">
        <v>7396764709</v>
      </c>
      <c r="F54" t="s">
        <v>601</v>
      </c>
      <c r="G54" t="s">
        <v>29</v>
      </c>
      <c r="H54" t="s">
        <v>36</v>
      </c>
      <c r="I54">
        <f t="shared" si="3"/>
        <v>-1</v>
      </c>
      <c r="J54">
        <v>158.1</v>
      </c>
      <c r="K54" t="str">
        <f t="shared" si="4"/>
        <v>Incorrect</v>
      </c>
      <c r="L54">
        <f t="shared" si="5"/>
        <v>1</v>
      </c>
      <c r="M54">
        <v>53</v>
      </c>
      <c r="N54">
        <v>53</v>
      </c>
      <c r="O54" t="s">
        <v>816</v>
      </c>
      <c r="P54" t="s">
        <v>817</v>
      </c>
    </row>
    <row r="55" spans="1:16" x14ac:dyDescent="0.3">
      <c r="A55">
        <v>54</v>
      </c>
      <c r="B55">
        <v>7396761184</v>
      </c>
      <c r="C55">
        <v>54</v>
      </c>
      <c r="D55" t="s">
        <v>818</v>
      </c>
      <c r="E55">
        <v>7396764716</v>
      </c>
      <c r="F55" t="s">
        <v>581</v>
      </c>
      <c r="G55" t="s">
        <v>26</v>
      </c>
      <c r="H55" t="s">
        <v>29</v>
      </c>
      <c r="I55">
        <f t="shared" si="3"/>
        <v>-1</v>
      </c>
      <c r="J55">
        <v>136.5</v>
      </c>
      <c r="K55" t="str">
        <f t="shared" si="4"/>
        <v>Incorrect</v>
      </c>
      <c r="L55">
        <f t="shared" si="5"/>
        <v>1</v>
      </c>
      <c r="M55">
        <v>54</v>
      </c>
      <c r="N55">
        <v>54</v>
      </c>
      <c r="O55" t="s">
        <v>819</v>
      </c>
      <c r="P55" t="s">
        <v>820</v>
      </c>
    </row>
    <row r="56" spans="1:16" x14ac:dyDescent="0.3">
      <c r="A56">
        <v>55</v>
      </c>
      <c r="B56">
        <v>7396761185</v>
      </c>
      <c r="C56">
        <v>55</v>
      </c>
      <c r="D56" t="s">
        <v>821</v>
      </c>
      <c r="E56">
        <v>7396764718</v>
      </c>
      <c r="F56" t="s">
        <v>822</v>
      </c>
      <c r="G56" t="s">
        <v>48</v>
      </c>
      <c r="H56" t="s">
        <v>29</v>
      </c>
      <c r="I56">
        <f t="shared" si="3"/>
        <v>-1</v>
      </c>
      <c r="J56">
        <v>90.5</v>
      </c>
      <c r="K56" t="str">
        <f t="shared" si="4"/>
        <v>Incorrect</v>
      </c>
      <c r="L56">
        <f t="shared" si="5"/>
        <v>1</v>
      </c>
      <c r="M56">
        <v>55</v>
      </c>
      <c r="N56">
        <v>55</v>
      </c>
      <c r="O56" t="s">
        <v>823</v>
      </c>
      <c r="P56" t="s">
        <v>824</v>
      </c>
    </row>
    <row r="57" spans="1:16" x14ac:dyDescent="0.3">
      <c r="A57">
        <v>56</v>
      </c>
      <c r="B57">
        <v>7396761186</v>
      </c>
      <c r="D57" t="s">
        <v>825</v>
      </c>
      <c r="E57">
        <v>7396764724</v>
      </c>
      <c r="F57" t="s">
        <v>826</v>
      </c>
      <c r="G57" t="s">
        <v>26</v>
      </c>
      <c r="H57" t="s">
        <v>26</v>
      </c>
      <c r="I57">
        <f t="shared" si="3"/>
        <v>4</v>
      </c>
      <c r="J57">
        <v>68.8</v>
      </c>
      <c r="K57" t="str">
        <f t="shared" si="4"/>
        <v>Correct</v>
      </c>
      <c r="L57">
        <f t="shared" si="5"/>
        <v>0</v>
      </c>
      <c r="M57">
        <v>56</v>
      </c>
      <c r="O57" t="s">
        <v>634</v>
      </c>
    </row>
    <row r="58" spans="1:16" x14ac:dyDescent="0.3">
      <c r="A58">
        <v>57</v>
      </c>
      <c r="B58">
        <v>7396761187</v>
      </c>
      <c r="D58" t="s">
        <v>827</v>
      </c>
      <c r="E58">
        <v>7396764727</v>
      </c>
      <c r="F58" t="s">
        <v>828</v>
      </c>
      <c r="G58" t="s">
        <v>36</v>
      </c>
      <c r="H58" t="s">
        <v>36</v>
      </c>
      <c r="I58">
        <f t="shared" si="3"/>
        <v>4</v>
      </c>
      <c r="J58">
        <v>103.3</v>
      </c>
      <c r="K58" t="str">
        <f t="shared" si="4"/>
        <v>Correct</v>
      </c>
      <c r="L58">
        <f t="shared" si="5"/>
        <v>0</v>
      </c>
      <c r="M58">
        <v>57</v>
      </c>
      <c r="O58" t="s">
        <v>634</v>
      </c>
    </row>
    <row r="59" spans="1:16" x14ac:dyDescent="0.3">
      <c r="A59">
        <v>58</v>
      </c>
      <c r="B59">
        <v>7396761188</v>
      </c>
      <c r="D59" t="s">
        <v>829</v>
      </c>
      <c r="E59">
        <v>7396764730</v>
      </c>
      <c r="F59" t="s">
        <v>830</v>
      </c>
      <c r="G59" t="s">
        <v>48</v>
      </c>
      <c r="H59" t="s">
        <v>48</v>
      </c>
      <c r="I59">
        <f t="shared" si="3"/>
        <v>4</v>
      </c>
      <c r="J59">
        <v>45.9</v>
      </c>
      <c r="K59" t="str">
        <f t="shared" si="4"/>
        <v>Correct</v>
      </c>
      <c r="L59">
        <f t="shared" si="5"/>
        <v>0</v>
      </c>
      <c r="M59">
        <v>58</v>
      </c>
      <c r="O59" t="s">
        <v>634</v>
      </c>
    </row>
    <row r="60" spans="1:16" x14ac:dyDescent="0.3">
      <c r="A60">
        <v>59</v>
      </c>
      <c r="B60">
        <v>7396761189</v>
      </c>
      <c r="C60">
        <v>59</v>
      </c>
      <c r="D60" t="s">
        <v>831</v>
      </c>
      <c r="E60">
        <v>7396764734</v>
      </c>
      <c r="F60" t="s">
        <v>832</v>
      </c>
      <c r="G60" t="s">
        <v>48</v>
      </c>
      <c r="H60" t="s">
        <v>29</v>
      </c>
      <c r="I60">
        <f t="shared" si="3"/>
        <v>-1</v>
      </c>
      <c r="J60">
        <v>268.10000000000002</v>
      </c>
      <c r="K60" t="str">
        <f t="shared" si="4"/>
        <v>Incorrect</v>
      </c>
      <c r="L60">
        <f t="shared" si="5"/>
        <v>1</v>
      </c>
      <c r="M60">
        <v>59</v>
      </c>
      <c r="N60">
        <v>59</v>
      </c>
      <c r="O60" t="s">
        <v>833</v>
      </c>
      <c r="P60" t="s">
        <v>834</v>
      </c>
    </row>
    <row r="61" spans="1:16" x14ac:dyDescent="0.3">
      <c r="A61">
        <v>60</v>
      </c>
      <c r="B61">
        <v>7396761190</v>
      </c>
      <c r="D61" t="s">
        <v>835</v>
      </c>
      <c r="E61">
        <v>7396764740</v>
      </c>
      <c r="F61" t="s">
        <v>832</v>
      </c>
      <c r="G61" t="s">
        <v>26</v>
      </c>
      <c r="H61" t="s">
        <v>26</v>
      </c>
      <c r="I61">
        <f t="shared" si="3"/>
        <v>4</v>
      </c>
      <c r="J61">
        <v>119.6</v>
      </c>
      <c r="K61" t="str">
        <f t="shared" si="4"/>
        <v>Correct</v>
      </c>
      <c r="L61">
        <f t="shared" si="5"/>
        <v>0</v>
      </c>
      <c r="M61">
        <v>60</v>
      </c>
      <c r="O61" t="s">
        <v>634</v>
      </c>
    </row>
    <row r="62" spans="1:16" x14ac:dyDescent="0.3">
      <c r="A62">
        <v>61</v>
      </c>
      <c r="B62">
        <v>7396761191</v>
      </c>
      <c r="D62" t="s">
        <v>836</v>
      </c>
      <c r="E62">
        <v>7396764741</v>
      </c>
      <c r="F62" t="s">
        <v>828</v>
      </c>
      <c r="G62" t="s">
        <v>29</v>
      </c>
      <c r="H62" t="s">
        <v>29</v>
      </c>
      <c r="I62">
        <f t="shared" si="3"/>
        <v>4</v>
      </c>
      <c r="J62">
        <v>71.8</v>
      </c>
      <c r="K62" t="str">
        <f t="shared" si="4"/>
        <v>Correct</v>
      </c>
      <c r="L62">
        <f t="shared" si="5"/>
        <v>0</v>
      </c>
      <c r="M62">
        <v>61</v>
      </c>
      <c r="O62" t="s">
        <v>634</v>
      </c>
    </row>
    <row r="63" spans="1:16" x14ac:dyDescent="0.3">
      <c r="A63">
        <v>62</v>
      </c>
      <c r="B63">
        <v>7396761192</v>
      </c>
      <c r="C63">
        <v>62</v>
      </c>
      <c r="D63" t="s">
        <v>837</v>
      </c>
      <c r="E63">
        <v>7396764748</v>
      </c>
      <c r="F63" t="s">
        <v>832</v>
      </c>
      <c r="G63" t="s">
        <v>26</v>
      </c>
      <c r="H63" t="s">
        <v>48</v>
      </c>
      <c r="I63">
        <f t="shared" si="3"/>
        <v>-1</v>
      </c>
      <c r="J63">
        <v>70.5</v>
      </c>
      <c r="K63" t="str">
        <f t="shared" si="4"/>
        <v>Incorrect</v>
      </c>
      <c r="L63">
        <f t="shared" si="5"/>
        <v>1</v>
      </c>
      <c r="M63">
        <v>62</v>
      </c>
      <c r="N63">
        <v>62</v>
      </c>
      <c r="O63" t="s">
        <v>634</v>
      </c>
      <c r="P63" t="s">
        <v>838</v>
      </c>
    </row>
    <row r="64" spans="1:16" x14ac:dyDescent="0.3">
      <c r="A64">
        <v>63</v>
      </c>
      <c r="B64">
        <v>7396761193</v>
      </c>
      <c r="C64">
        <v>63</v>
      </c>
      <c r="D64" t="s">
        <v>839</v>
      </c>
      <c r="E64">
        <v>7396764750</v>
      </c>
      <c r="F64" t="s">
        <v>840</v>
      </c>
      <c r="G64" t="s">
        <v>48</v>
      </c>
      <c r="H64" t="s">
        <v>29</v>
      </c>
      <c r="I64">
        <f t="shared" si="3"/>
        <v>-1</v>
      </c>
      <c r="J64">
        <v>253.8</v>
      </c>
      <c r="K64" t="str">
        <f t="shared" si="4"/>
        <v>Incorrect</v>
      </c>
      <c r="L64">
        <f t="shared" si="5"/>
        <v>1</v>
      </c>
      <c r="M64">
        <v>63</v>
      </c>
      <c r="N64">
        <v>63</v>
      </c>
      <c r="O64" t="s">
        <v>841</v>
      </c>
      <c r="P64" t="s">
        <v>842</v>
      </c>
    </row>
    <row r="65" spans="1:16" x14ac:dyDescent="0.3">
      <c r="A65">
        <v>64</v>
      </c>
      <c r="B65">
        <v>7396761194</v>
      </c>
      <c r="D65" t="s">
        <v>843</v>
      </c>
      <c r="E65">
        <v>7396764755</v>
      </c>
      <c r="F65" t="s">
        <v>832</v>
      </c>
      <c r="G65" t="s">
        <v>36</v>
      </c>
      <c r="H65" t="s">
        <v>36</v>
      </c>
      <c r="I65">
        <f t="shared" si="3"/>
        <v>4</v>
      </c>
      <c r="J65">
        <v>135.69999999999999</v>
      </c>
      <c r="K65" t="str">
        <f t="shared" si="4"/>
        <v>Correct</v>
      </c>
      <c r="L65">
        <f t="shared" si="5"/>
        <v>0</v>
      </c>
      <c r="M65">
        <v>64</v>
      </c>
      <c r="O65" t="s">
        <v>634</v>
      </c>
    </row>
    <row r="66" spans="1:16" x14ac:dyDescent="0.3">
      <c r="A66">
        <v>65</v>
      </c>
      <c r="B66">
        <v>7396761195</v>
      </c>
      <c r="C66">
        <v>65</v>
      </c>
      <c r="D66" t="s">
        <v>844</v>
      </c>
      <c r="E66">
        <v>7396764759</v>
      </c>
      <c r="F66" t="s">
        <v>845</v>
      </c>
      <c r="G66" t="s">
        <v>36</v>
      </c>
      <c r="H66" t="s">
        <v>26</v>
      </c>
      <c r="I66">
        <f t="shared" ref="I66:I76" si="6">IF(K66="Correct", 4, IF(K66="Incorrect", -1, 0))</f>
        <v>-1</v>
      </c>
      <c r="J66">
        <v>215</v>
      </c>
      <c r="K66" t="str">
        <f t="shared" ref="K66:K76" si="7">IF(OR(ISBLANK(H66), H66="Not Attempted", H66=""), "Unattempted", IF(H66=G66, "Correct", "Incorrect"))</f>
        <v>Incorrect</v>
      </c>
      <c r="L66">
        <f t="shared" ref="L66:L76" si="8">IF(K66="Incorrect", 1, 0)</f>
        <v>1</v>
      </c>
      <c r="M66">
        <v>65</v>
      </c>
      <c r="N66">
        <v>65</v>
      </c>
      <c r="O66" t="s">
        <v>634</v>
      </c>
      <c r="P66" t="s">
        <v>846</v>
      </c>
    </row>
    <row r="67" spans="1:16" x14ac:dyDescent="0.3">
      <c r="A67">
        <v>66</v>
      </c>
      <c r="B67">
        <v>7396761196</v>
      </c>
      <c r="C67">
        <v>66</v>
      </c>
      <c r="D67" t="s">
        <v>847</v>
      </c>
      <c r="E67">
        <v>7396764764</v>
      </c>
      <c r="F67" t="s">
        <v>848</v>
      </c>
      <c r="G67" t="s">
        <v>26</v>
      </c>
      <c r="H67" t="s">
        <v>29</v>
      </c>
      <c r="I67">
        <f t="shared" si="6"/>
        <v>-1</v>
      </c>
      <c r="J67">
        <v>132.19999999999999</v>
      </c>
      <c r="K67" t="str">
        <f t="shared" si="7"/>
        <v>Incorrect</v>
      </c>
      <c r="L67">
        <f t="shared" si="8"/>
        <v>1</v>
      </c>
      <c r="M67">
        <v>66</v>
      </c>
      <c r="N67">
        <v>66</v>
      </c>
      <c r="O67" t="s">
        <v>634</v>
      </c>
      <c r="P67" t="s">
        <v>849</v>
      </c>
    </row>
    <row r="68" spans="1:16" x14ac:dyDescent="0.3">
      <c r="A68">
        <v>67</v>
      </c>
      <c r="B68">
        <v>7396761197</v>
      </c>
      <c r="D68" t="s">
        <v>850</v>
      </c>
      <c r="E68">
        <v>7396764766</v>
      </c>
      <c r="F68" t="s">
        <v>851</v>
      </c>
      <c r="G68" t="s">
        <v>48</v>
      </c>
      <c r="H68" t="s">
        <v>48</v>
      </c>
      <c r="I68">
        <f t="shared" si="6"/>
        <v>4</v>
      </c>
      <c r="J68">
        <v>42.7</v>
      </c>
      <c r="K68" t="str">
        <f t="shared" si="7"/>
        <v>Correct</v>
      </c>
      <c r="L68">
        <f t="shared" si="8"/>
        <v>0</v>
      </c>
      <c r="M68">
        <v>67</v>
      </c>
      <c r="O68" t="s">
        <v>634</v>
      </c>
    </row>
    <row r="69" spans="1:16" x14ac:dyDescent="0.3">
      <c r="A69">
        <v>68</v>
      </c>
      <c r="B69">
        <v>7396761198</v>
      </c>
      <c r="D69" t="s">
        <v>852</v>
      </c>
      <c r="E69">
        <v>7396764772</v>
      </c>
      <c r="F69" t="s">
        <v>853</v>
      </c>
      <c r="G69" t="s">
        <v>26</v>
      </c>
      <c r="H69" t="s">
        <v>26</v>
      </c>
      <c r="I69">
        <f t="shared" si="6"/>
        <v>4</v>
      </c>
      <c r="J69">
        <v>58.6</v>
      </c>
      <c r="K69" t="str">
        <f t="shared" si="7"/>
        <v>Correct</v>
      </c>
      <c r="L69">
        <f t="shared" si="8"/>
        <v>0</v>
      </c>
      <c r="M69">
        <v>68</v>
      </c>
      <c r="O69" t="s">
        <v>634</v>
      </c>
    </row>
    <row r="70" spans="1:16" x14ac:dyDescent="0.3">
      <c r="A70">
        <v>69</v>
      </c>
      <c r="B70">
        <v>7396761199</v>
      </c>
      <c r="D70" t="s">
        <v>854</v>
      </c>
      <c r="E70">
        <v>7396764774</v>
      </c>
      <c r="F70" t="s">
        <v>587</v>
      </c>
      <c r="G70" t="s">
        <v>48</v>
      </c>
      <c r="H70" t="s">
        <v>48</v>
      </c>
      <c r="I70">
        <f t="shared" si="6"/>
        <v>4</v>
      </c>
      <c r="J70">
        <v>43</v>
      </c>
      <c r="K70" t="str">
        <f t="shared" si="7"/>
        <v>Correct</v>
      </c>
      <c r="L70">
        <f t="shared" si="8"/>
        <v>0</v>
      </c>
      <c r="M70">
        <v>69</v>
      </c>
      <c r="O70" t="s">
        <v>634</v>
      </c>
    </row>
    <row r="71" spans="1:16" x14ac:dyDescent="0.3">
      <c r="A71">
        <v>70</v>
      </c>
      <c r="B71">
        <v>7396761200</v>
      </c>
      <c r="D71" t="s">
        <v>855</v>
      </c>
      <c r="E71">
        <v>7396764779</v>
      </c>
      <c r="F71" t="s">
        <v>848</v>
      </c>
      <c r="G71" t="s">
        <v>36</v>
      </c>
      <c r="H71" t="s">
        <v>36</v>
      </c>
      <c r="I71">
        <f t="shared" si="6"/>
        <v>4</v>
      </c>
      <c r="J71">
        <v>145.19999999999999</v>
      </c>
      <c r="K71" t="str">
        <f t="shared" si="7"/>
        <v>Correct</v>
      </c>
      <c r="L71">
        <f t="shared" si="8"/>
        <v>0</v>
      </c>
      <c r="M71">
        <v>70</v>
      </c>
      <c r="O71" t="s">
        <v>634</v>
      </c>
    </row>
    <row r="72" spans="1:16" x14ac:dyDescent="0.3">
      <c r="A72">
        <v>71</v>
      </c>
      <c r="B72">
        <v>7396761201</v>
      </c>
      <c r="D72" t="s">
        <v>856</v>
      </c>
      <c r="E72">
        <v>7396764784</v>
      </c>
      <c r="F72" t="s">
        <v>540</v>
      </c>
      <c r="G72" t="s">
        <v>26</v>
      </c>
      <c r="H72" t="s">
        <v>26</v>
      </c>
      <c r="I72">
        <f t="shared" si="6"/>
        <v>4</v>
      </c>
      <c r="J72">
        <v>51.8</v>
      </c>
      <c r="K72" t="str">
        <f t="shared" si="7"/>
        <v>Correct</v>
      </c>
      <c r="L72">
        <f t="shared" si="8"/>
        <v>0</v>
      </c>
      <c r="M72">
        <v>71</v>
      </c>
      <c r="O72" t="s">
        <v>634</v>
      </c>
    </row>
    <row r="73" spans="1:16" x14ac:dyDescent="0.3">
      <c r="A73">
        <v>72</v>
      </c>
      <c r="B73">
        <v>7396761202</v>
      </c>
      <c r="D73" t="s">
        <v>857</v>
      </c>
      <c r="E73">
        <v>7396764785</v>
      </c>
      <c r="F73" t="s">
        <v>540</v>
      </c>
      <c r="G73" t="s">
        <v>29</v>
      </c>
      <c r="H73" t="s">
        <v>29</v>
      </c>
      <c r="I73">
        <f t="shared" si="6"/>
        <v>4</v>
      </c>
      <c r="J73">
        <v>100.7</v>
      </c>
      <c r="K73" t="str">
        <f t="shared" si="7"/>
        <v>Correct</v>
      </c>
      <c r="L73">
        <f t="shared" si="8"/>
        <v>0</v>
      </c>
      <c r="M73">
        <v>72</v>
      </c>
      <c r="O73" t="s">
        <v>634</v>
      </c>
    </row>
    <row r="74" spans="1:16" x14ac:dyDescent="0.3">
      <c r="A74">
        <v>73</v>
      </c>
      <c r="B74">
        <v>7396761203</v>
      </c>
      <c r="D74" t="s">
        <v>858</v>
      </c>
      <c r="E74">
        <v>7396764790</v>
      </c>
      <c r="F74" t="s">
        <v>859</v>
      </c>
      <c r="G74" t="s">
        <v>48</v>
      </c>
      <c r="H74" t="s">
        <v>48</v>
      </c>
      <c r="I74">
        <f t="shared" si="6"/>
        <v>4</v>
      </c>
      <c r="J74">
        <v>71.5</v>
      </c>
      <c r="K74" t="str">
        <f t="shared" si="7"/>
        <v>Correct</v>
      </c>
      <c r="L74">
        <f t="shared" si="8"/>
        <v>0</v>
      </c>
      <c r="M74">
        <v>73</v>
      </c>
      <c r="O74" t="s">
        <v>634</v>
      </c>
    </row>
    <row r="75" spans="1:16" x14ac:dyDescent="0.3">
      <c r="A75">
        <v>74</v>
      </c>
      <c r="B75">
        <v>7396761204</v>
      </c>
      <c r="C75">
        <v>74</v>
      </c>
      <c r="D75" t="s">
        <v>860</v>
      </c>
      <c r="E75">
        <v>7396764794</v>
      </c>
      <c r="F75" t="s">
        <v>587</v>
      </c>
      <c r="G75" t="s">
        <v>48</v>
      </c>
      <c r="H75" t="s">
        <v>36</v>
      </c>
      <c r="I75">
        <f t="shared" si="6"/>
        <v>-1</v>
      </c>
      <c r="J75">
        <v>216.7</v>
      </c>
      <c r="K75" t="str">
        <f t="shared" si="7"/>
        <v>Incorrect</v>
      </c>
      <c r="L75">
        <f t="shared" si="8"/>
        <v>1</v>
      </c>
      <c r="M75">
        <v>74</v>
      </c>
      <c r="N75">
        <v>74</v>
      </c>
      <c r="O75" t="s">
        <v>861</v>
      </c>
      <c r="P75" t="s">
        <v>862</v>
      </c>
    </row>
    <row r="76" spans="1:16" x14ac:dyDescent="0.3">
      <c r="A76">
        <v>75</v>
      </c>
      <c r="B76">
        <v>7396761205</v>
      </c>
      <c r="D76" t="s">
        <v>863</v>
      </c>
      <c r="E76">
        <v>7396764799</v>
      </c>
      <c r="F76" t="s">
        <v>584</v>
      </c>
      <c r="G76" t="s">
        <v>36</v>
      </c>
      <c r="H76" t="s">
        <v>36</v>
      </c>
      <c r="I76">
        <f t="shared" si="6"/>
        <v>4</v>
      </c>
      <c r="J76">
        <v>62.1</v>
      </c>
      <c r="K76" t="str">
        <f t="shared" si="7"/>
        <v>Correct</v>
      </c>
      <c r="L76">
        <f t="shared" si="8"/>
        <v>0</v>
      </c>
      <c r="M76">
        <v>75</v>
      </c>
      <c r="O76" t="s">
        <v>634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CUET 2023 Shift 1</vt:lpstr>
      <vt:lpstr>CUET 2023 Shift 2</vt:lpstr>
      <vt:lpstr>CUET 2024</vt:lpstr>
      <vt:lpstr>CUET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Rishav -</cp:lastModifiedBy>
  <dcterms:created xsi:type="dcterms:W3CDTF">2026-06-09T15:04:26Z</dcterms:created>
  <dcterms:modified xsi:type="dcterms:W3CDTF">2026-06-09T15:06:39Z</dcterms:modified>
</cp:coreProperties>
</file>